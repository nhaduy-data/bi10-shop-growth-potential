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_ROUND3\clean_data\"/>
    </mc:Choice>
  </mc:AlternateContent>
  <xr:revisionPtr revIDLastSave="0" documentId="13_ncr:1_{C82791DD-EF63-4766-9562-274304C00757}" xr6:coauthVersionLast="47" xr6:coauthVersionMax="47" xr10:uidLastSave="{00000000-0000-0000-0000-000000000000}"/>
  <bookViews>
    <workbookView xWindow="-98" yWindow="-98" windowWidth="19396" windowHeight="11475" xr2:uid="{06739D83-9419-4D3F-9A28-608958E80FB1}"/>
  </bookViews>
  <sheets>
    <sheet name="Tổng hợp" sheetId="5" r:id="rId1"/>
    <sheet name="Sát nhập tỉnh" sheetId="4" r:id="rId2"/>
    <sheet name="Dân số và diện tích từng tỉnh" sheetId="1" r:id="rId3"/>
    <sheet name="Thu nhập bình quân" sheetId="7" r:id="rId4"/>
    <sheet name="Tổng mức bán lẻ và doanh thu" sheetId="6" r:id="rId5"/>
    <sheet name="Lao động theo từng tỉnh" sheetId="2" r:id="rId6"/>
  </sheets>
  <definedNames>
    <definedName name="_xlnm._FilterDatabase" localSheetId="2" hidden="1">'Dân số và diện tích từng tỉnh'!$A$1:$F$1</definedName>
    <definedName name="_xlnm._FilterDatabase" localSheetId="5" hidden="1">'Lao động theo từng tỉnh'!$A$1:$B$1</definedName>
    <definedName name="_xlnm._FilterDatabase" localSheetId="3" hidden="1">'Thu nhập bình quân'!$A$1:$D$64</definedName>
    <definedName name="_xlnm._FilterDatabase" localSheetId="0" hidden="1">'Tổng hợp'!$A$1:$H$35</definedName>
    <definedName name="_xlnm._FilterDatabase" localSheetId="4" hidden="1">'Tổng mức bán lẻ và doanh thu'!$A$1:$C$1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2" i="7" l="1"/>
  <c r="F2" i="7" s="1"/>
  <c r="E39" i="7"/>
  <c r="F39" i="7" s="1"/>
  <c r="E3" i="7"/>
  <c r="F3" i="7" s="1"/>
  <c r="E4" i="7"/>
  <c r="F4" i="7" s="1"/>
  <c r="E5" i="7"/>
  <c r="F5" i="7" s="1"/>
  <c r="E6" i="7"/>
  <c r="F6" i="7" s="1"/>
  <c r="E7" i="7"/>
  <c r="F7" i="7" s="1"/>
  <c r="E8" i="7"/>
  <c r="F8" i="7" s="1"/>
  <c r="E9" i="7"/>
  <c r="F9" i="7" s="1"/>
  <c r="E10" i="7"/>
  <c r="F10" i="7" s="1"/>
  <c r="E11" i="7"/>
  <c r="F11" i="7" s="1"/>
  <c r="E12" i="7"/>
  <c r="F12" i="7" s="1"/>
  <c r="E13" i="7"/>
  <c r="F13" i="7" s="1"/>
  <c r="E14" i="7"/>
  <c r="F14" i="7" s="1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E55" i="7"/>
  <c r="F55" i="7" s="1"/>
  <c r="E56" i="7"/>
  <c r="F56" i="7" s="1"/>
  <c r="E57" i="7"/>
  <c r="F57" i="7" s="1"/>
  <c r="E58" i="7"/>
  <c r="F58" i="7" s="1"/>
  <c r="E59" i="7"/>
  <c r="F59" i="7" s="1"/>
  <c r="E60" i="7"/>
  <c r="F60" i="7" s="1"/>
  <c r="E61" i="7"/>
  <c r="F61" i="7" s="1"/>
  <c r="E62" i="7"/>
  <c r="F62" i="7" s="1"/>
  <c r="E63" i="7"/>
  <c r="F63" i="7" s="1"/>
  <c r="E64" i="7"/>
  <c r="F64" i="7" s="1"/>
  <c r="C63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4" i="7"/>
  <c r="C2" i="7"/>
  <c r="D64" i="7"/>
  <c r="D57" i="7"/>
  <c r="D56" i="7"/>
  <c r="D58" i="7"/>
  <c r="D55" i="7"/>
  <c r="D62" i="7"/>
  <c r="D53" i="7"/>
  <c r="D49" i="7"/>
  <c r="D51" i="7"/>
  <c r="D47" i="7"/>
  <c r="D52" i="7"/>
  <c r="D7" i="7"/>
  <c r="D2" i="7"/>
  <c r="D14" i="7"/>
  <c r="D8" i="7"/>
  <c r="D12" i="7"/>
  <c r="D18" i="7"/>
  <c r="D45" i="7"/>
  <c r="D13" i="7"/>
  <c r="D46" i="7"/>
  <c r="D36" i="7"/>
  <c r="D3" i="7"/>
  <c r="D4" i="7"/>
  <c r="D5" i="7"/>
  <c r="D19" i="7"/>
  <c r="D35" i="7"/>
  <c r="D33" i="7"/>
  <c r="D32" i="7"/>
  <c r="D30" i="7"/>
  <c r="D10" i="7"/>
  <c r="D39" i="7"/>
  <c r="D59" i="7"/>
  <c r="D22" i="7"/>
  <c r="D24" i="7"/>
  <c r="D26" i="7"/>
  <c r="D27" i="7"/>
  <c r="D38" i="7"/>
  <c r="D16" i="7"/>
  <c r="D28" i="7"/>
  <c r="D15" i="7"/>
  <c r="D6" i="7"/>
  <c r="D31" i="7"/>
  <c r="D9" i="7"/>
  <c r="D34" i="7"/>
  <c r="D41" i="7"/>
  <c r="D40" i="7"/>
  <c r="D61" i="7"/>
  <c r="D60" i="7"/>
  <c r="D54" i="7"/>
  <c r="D63" i="7"/>
  <c r="D50" i="7"/>
  <c r="D43" i="7"/>
  <c r="D11" i="7"/>
  <c r="D21" i="7"/>
  <c r="D20" i="7"/>
  <c r="D44" i="7"/>
  <c r="D25" i="7"/>
  <c r="D48" i="7"/>
  <c r="D42" i="7"/>
  <c r="D17" i="7"/>
  <c r="D29" i="7"/>
  <c r="D37" i="7"/>
  <c r="D23" i="7"/>
  <c r="D2" i="6"/>
  <c r="D50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3" i="6"/>
  <c r="D4" i="6"/>
  <c r="C3" i="2"/>
  <c r="C2" i="2"/>
  <c r="C34" i="6"/>
  <c r="C51" i="6"/>
  <c r="C22" i="6"/>
  <c r="C50" i="6"/>
  <c r="C11" i="6"/>
  <c r="C47" i="6"/>
  <c r="C12" i="6"/>
  <c r="C35" i="6"/>
  <c r="C46" i="6"/>
  <c r="C8" i="6"/>
  <c r="C33" i="6"/>
  <c r="C37" i="6"/>
  <c r="C49" i="6"/>
  <c r="C62" i="6"/>
  <c r="C61" i="6"/>
  <c r="C45" i="6"/>
  <c r="C64" i="6"/>
  <c r="C43" i="6"/>
  <c r="C44" i="6"/>
  <c r="C28" i="6"/>
  <c r="C19" i="6"/>
  <c r="C31" i="6"/>
  <c r="C55" i="6"/>
  <c r="C57" i="6"/>
  <c r="C56" i="6"/>
  <c r="C53" i="6"/>
  <c r="C26" i="6"/>
  <c r="C48" i="6"/>
  <c r="C41" i="6"/>
  <c r="C42" i="6"/>
  <c r="C6" i="6"/>
  <c r="C58" i="6"/>
  <c r="C54" i="6"/>
  <c r="C21" i="6"/>
  <c r="C15" i="6"/>
  <c r="C20" i="6"/>
  <c r="C25" i="6"/>
  <c r="C52" i="6"/>
  <c r="C17" i="6"/>
  <c r="C13" i="6"/>
  <c r="C10" i="6"/>
  <c r="C9" i="6"/>
  <c r="C29" i="6"/>
  <c r="C16" i="6"/>
  <c r="C23" i="6"/>
  <c r="C24" i="6"/>
  <c r="C7" i="6"/>
  <c r="C3" i="6"/>
  <c r="C14" i="6"/>
  <c r="C27" i="6"/>
  <c r="C30" i="6"/>
  <c r="C18" i="6"/>
  <c r="C32" i="6"/>
  <c r="C36" i="6"/>
  <c r="C5" i="6"/>
  <c r="C4" i="6"/>
  <c r="C2" i="6"/>
  <c r="C63" i="6"/>
  <c r="C39" i="6"/>
  <c r="C38" i="6"/>
  <c r="C59" i="6"/>
  <c r="C40" i="6"/>
  <c r="C60" i="6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C64" i="2"/>
  <c r="C62" i="2"/>
  <c r="C63" i="2"/>
  <c r="C40" i="2"/>
  <c r="C58" i="2"/>
  <c r="C59" i="2"/>
  <c r="C60" i="2"/>
  <c r="C61" i="2"/>
  <c r="C50" i="2"/>
  <c r="C51" i="2"/>
  <c r="C52" i="2"/>
  <c r="C53" i="2"/>
  <c r="C54" i="2"/>
  <c r="C55" i="2"/>
  <c r="C56" i="2"/>
  <c r="C57" i="2"/>
  <c r="C37" i="2"/>
  <c r="C38" i="2"/>
  <c r="C39" i="2"/>
  <c r="C41" i="2"/>
  <c r="C42" i="2"/>
  <c r="C43" i="2"/>
  <c r="C44" i="2"/>
  <c r="C45" i="2"/>
  <c r="C46" i="2"/>
  <c r="C47" i="2"/>
  <c r="C48" i="2"/>
  <c r="C49" i="2"/>
  <c r="C26" i="2"/>
  <c r="C27" i="2"/>
  <c r="C28" i="2"/>
  <c r="C29" i="2"/>
  <c r="C30" i="2"/>
  <c r="C31" i="2"/>
  <c r="C32" i="2"/>
  <c r="C33" i="2"/>
  <c r="C34" i="2"/>
  <c r="C35" i="2"/>
  <c r="C36" i="2"/>
  <c r="C16" i="2"/>
  <c r="C17" i="2"/>
  <c r="C18" i="2"/>
  <c r="C19" i="2"/>
  <c r="C20" i="2"/>
  <c r="C21" i="2"/>
  <c r="C22" i="2"/>
  <c r="C23" i="2"/>
  <c r="C24" i="2"/>
  <c r="C25" i="2"/>
  <c r="C4" i="2"/>
  <c r="C5" i="2"/>
  <c r="C6" i="2"/>
  <c r="C7" i="2"/>
  <c r="C8" i="2"/>
  <c r="C9" i="2"/>
  <c r="C10" i="2"/>
  <c r="C11" i="2"/>
  <c r="C12" i="2"/>
  <c r="C13" i="2"/>
  <c r="C14" i="2"/>
  <c r="C15" i="2"/>
  <c r="F7" i="1"/>
  <c r="F56" i="1"/>
  <c r="F24" i="1"/>
  <c r="F31" i="1"/>
  <c r="F63" i="1"/>
  <c r="F16" i="1"/>
  <c r="F42" i="1"/>
  <c r="F14" i="1"/>
  <c r="F62" i="1"/>
  <c r="F28" i="1"/>
  <c r="F54" i="1"/>
  <c r="F29" i="1"/>
  <c r="F27" i="1"/>
  <c r="F40" i="1"/>
  <c r="F3" i="1"/>
  <c r="F59" i="1"/>
  <c r="F8" i="1"/>
  <c r="F60" i="1"/>
  <c r="F58" i="1"/>
  <c r="F6" i="1"/>
  <c r="F10" i="1"/>
  <c r="F51" i="1"/>
  <c r="F43" i="1"/>
  <c r="F25" i="1"/>
  <c r="F21" i="1"/>
  <c r="F55" i="1"/>
  <c r="F44" i="1"/>
  <c r="F2" i="1"/>
  <c r="F4" i="1"/>
  <c r="F53" i="1"/>
  <c r="F39" i="1"/>
  <c r="F30" i="1"/>
  <c r="F50" i="1"/>
  <c r="F5" i="1"/>
  <c r="F57" i="1"/>
  <c r="F45" i="1"/>
  <c r="F48" i="1"/>
  <c r="F32" i="1"/>
  <c r="F13" i="1"/>
  <c r="F20" i="1"/>
  <c r="F61" i="1"/>
  <c r="F26" i="1"/>
  <c r="F9" i="1"/>
  <c r="F49" i="1"/>
  <c r="F33" i="1"/>
  <c r="F38" i="1"/>
  <c r="F18" i="1"/>
  <c r="F15" i="1"/>
  <c r="F11" i="1"/>
  <c r="F64" i="1"/>
  <c r="F23" i="1"/>
  <c r="F12" i="1"/>
  <c r="F46" i="1"/>
  <c r="F37" i="1"/>
  <c r="F35" i="1"/>
  <c r="F19" i="1"/>
  <c r="F34" i="1"/>
  <c r="F36" i="1"/>
  <c r="F47" i="1"/>
  <c r="F17" i="1"/>
  <c r="F52" i="1"/>
  <c r="F22" i="1"/>
  <c r="F41" i="1"/>
  <c r="F34" i="5" l="1"/>
  <c r="G34" i="5"/>
  <c r="G35" i="5"/>
  <c r="G21" i="5"/>
  <c r="G33" i="5"/>
  <c r="G31" i="5"/>
  <c r="G28" i="5"/>
  <c r="G24" i="5"/>
  <c r="G20" i="5"/>
  <c r="G10" i="5"/>
  <c r="G17" i="5"/>
  <c r="G25" i="5"/>
  <c r="G13" i="5"/>
  <c r="G19" i="5"/>
  <c r="G30" i="5"/>
  <c r="G7" i="5"/>
  <c r="G29" i="5"/>
  <c r="G14" i="5"/>
  <c r="G27" i="5"/>
  <c r="G26" i="5"/>
  <c r="G15" i="5"/>
  <c r="G18" i="5"/>
  <c r="G12" i="5"/>
  <c r="G11" i="5"/>
  <c r="G6" i="5"/>
  <c r="G23" i="5"/>
  <c r="G9" i="5"/>
  <c r="G16" i="5"/>
  <c r="G32" i="5"/>
  <c r="G22" i="5"/>
  <c r="G5" i="5"/>
  <c r="G8" i="5"/>
  <c r="G3" i="5"/>
  <c r="G2" i="5"/>
  <c r="G4" i="5"/>
  <c r="F32" i="5"/>
  <c r="F8" i="5"/>
  <c r="F3" i="5"/>
  <c r="F2" i="5"/>
  <c r="F4" i="5"/>
  <c r="F27" i="5"/>
  <c r="F15" i="5"/>
  <c r="F18" i="5"/>
  <c r="F12" i="5"/>
  <c r="F11" i="5"/>
  <c r="F6" i="5"/>
  <c r="F23" i="5"/>
  <c r="F9" i="5"/>
  <c r="F35" i="5"/>
  <c r="F21" i="5"/>
  <c r="F31" i="5"/>
  <c r="F28" i="5"/>
  <c r="F24" i="5"/>
  <c r="F20" i="5"/>
  <c r="F10" i="5"/>
  <c r="F17" i="5"/>
  <c r="F13" i="5"/>
  <c r="F19" i="5"/>
  <c r="F29" i="5"/>
  <c r="F16" i="5"/>
  <c r="F30" i="5"/>
  <c r="F5" i="5"/>
  <c r="F22" i="5"/>
  <c r="F26" i="5"/>
  <c r="F33" i="5"/>
  <c r="F7" i="5"/>
  <c r="F14" i="5"/>
  <c r="F25" i="5"/>
  <c r="D35" i="5"/>
  <c r="H35" i="5" s="1"/>
  <c r="D21" i="5"/>
  <c r="H21" i="5" s="1"/>
  <c r="D33" i="5"/>
  <c r="H33" i="5" s="1"/>
  <c r="D31" i="5"/>
  <c r="H31" i="5" s="1"/>
  <c r="D28" i="5"/>
  <c r="H28" i="5" s="1"/>
  <c r="D24" i="5"/>
  <c r="H24" i="5" s="1"/>
  <c r="D20" i="5"/>
  <c r="H20" i="5" s="1"/>
  <c r="D10" i="5"/>
  <c r="H10" i="5" s="1"/>
  <c r="D17" i="5"/>
  <c r="H17" i="5" s="1"/>
  <c r="D25" i="5"/>
  <c r="H25" i="5" s="1"/>
  <c r="D13" i="5"/>
  <c r="H13" i="5" s="1"/>
  <c r="D19" i="5"/>
  <c r="H19" i="5" s="1"/>
  <c r="D30" i="5"/>
  <c r="H30" i="5" s="1"/>
  <c r="D7" i="5"/>
  <c r="H7" i="5" s="1"/>
  <c r="D29" i="5"/>
  <c r="H29" i="5" s="1"/>
  <c r="D14" i="5"/>
  <c r="H14" i="5" s="1"/>
  <c r="D27" i="5"/>
  <c r="H27" i="5" s="1"/>
  <c r="D26" i="5"/>
  <c r="H26" i="5" s="1"/>
  <c r="D15" i="5"/>
  <c r="H15" i="5" s="1"/>
  <c r="D18" i="5"/>
  <c r="H18" i="5" s="1"/>
  <c r="D12" i="5"/>
  <c r="H12" i="5" s="1"/>
  <c r="D11" i="5"/>
  <c r="H11" i="5" s="1"/>
  <c r="D6" i="5"/>
  <c r="H6" i="5" s="1"/>
  <c r="D23" i="5"/>
  <c r="H23" i="5" s="1"/>
  <c r="D9" i="5"/>
  <c r="H9" i="5" s="1"/>
  <c r="D16" i="5"/>
  <c r="H16" i="5" s="1"/>
  <c r="D32" i="5"/>
  <c r="H32" i="5" s="1"/>
  <c r="D22" i="5"/>
  <c r="H22" i="5" s="1"/>
  <c r="D5" i="5"/>
  <c r="H5" i="5" s="1"/>
  <c r="D8" i="5"/>
  <c r="H8" i="5" s="1"/>
  <c r="D3" i="5"/>
  <c r="H3" i="5" s="1"/>
  <c r="D2" i="5"/>
  <c r="H2" i="5" s="1"/>
  <c r="D4" i="5"/>
  <c r="H4" i="5" s="1"/>
  <c r="D34" i="5"/>
  <c r="H34" i="5" s="1"/>
  <c r="C16" i="5"/>
  <c r="C32" i="5"/>
  <c r="C22" i="5"/>
  <c r="C5" i="5"/>
  <c r="C8" i="5"/>
  <c r="C3" i="5"/>
  <c r="C2" i="5"/>
  <c r="C4" i="5"/>
  <c r="C27" i="5"/>
  <c r="C26" i="5"/>
  <c r="C15" i="5"/>
  <c r="C18" i="5"/>
  <c r="C12" i="5"/>
  <c r="C11" i="5"/>
  <c r="C6" i="5"/>
  <c r="C23" i="5"/>
  <c r="C9" i="5"/>
  <c r="C35" i="5"/>
  <c r="C21" i="5"/>
  <c r="C33" i="5"/>
  <c r="C31" i="5"/>
  <c r="C28" i="5"/>
  <c r="C24" i="5"/>
  <c r="C20" i="5"/>
  <c r="C10" i="5"/>
  <c r="C17" i="5"/>
  <c r="C25" i="5"/>
  <c r="C13" i="5"/>
  <c r="C19" i="5"/>
  <c r="C30" i="5"/>
  <c r="C7" i="5"/>
  <c r="C29" i="5"/>
  <c r="C14" i="5"/>
  <c r="C34" i="5"/>
  <c r="E35" i="5" l="1"/>
  <c r="E31" i="5"/>
  <c r="E28" i="5"/>
  <c r="E24" i="5"/>
  <c r="E20" i="5"/>
  <c r="E10" i="5"/>
  <c r="E17" i="5"/>
  <c r="E13" i="5"/>
  <c r="E21" i="5"/>
  <c r="E33" i="5"/>
  <c r="E25" i="5"/>
  <c r="E19" i="5"/>
  <c r="E30" i="5"/>
  <c r="E27" i="5"/>
  <c r="E32" i="5"/>
  <c r="E8" i="5"/>
  <c r="E7" i="5"/>
  <c r="E29" i="5"/>
  <c r="E14" i="5"/>
  <c r="E9" i="5"/>
  <c r="E5" i="5"/>
  <c r="E3" i="5"/>
  <c r="E34" i="5"/>
  <c r="E26" i="5"/>
  <c r="E15" i="5"/>
  <c r="E18" i="5"/>
  <c r="E12" i="5"/>
  <c r="E11" i="5"/>
  <c r="E6" i="5"/>
  <c r="E23" i="5"/>
  <c r="E16" i="5"/>
  <c r="E22" i="5"/>
  <c r="E2" i="5"/>
  <c r="E4" i="5"/>
</calcChain>
</file>

<file path=xl/sharedStrings.xml><?xml version="1.0" encoding="utf-8"?>
<sst xmlns="http://schemas.openxmlformats.org/spreadsheetml/2006/main" count="396" uniqueCount="120">
  <si>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</si>
  <si>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</si>
  <si>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</si>
  <si>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</si>
  <si>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</si>
  <si>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</si>
  <si>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</si>
  <si>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</si>
  <si>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</si>
  <si>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</si>
  <si>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</si>
  <si>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</si>
  <si>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</si>
  <si>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</si>
  <si>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</si>
  <si>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</si>
  <si>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</si>
  <si>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</si>
  <si>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</si>
  <si>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Hưng Yên</t>
  </si>
  <si>
    <t>Hải Dương</t>
  </si>
  <si>
    <t>Hải Phòng</t>
  </si>
  <si>
    <t>Hậu Giang</t>
  </si>
  <si>
    <t>Khánh Hoà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</si>
  <si>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</si>
  <si>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</si>
  <si>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</si>
  <si>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</si>
  <si>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</si>
  <si>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</si>
  <si>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</si>
  <si>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</si>
  <si>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</si>
  <si>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</si>
  <si>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</si>
  <si>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</si>
  <si>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</si>
  <si>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</si>
  <si>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</si>
  <si>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</si>
  <si>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</si>
  <si>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</si>
  <si>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</si>
  <si>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</si>
  <si>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Thái Bình</t>
  </si>
  <si>
    <t>Thái Nguyên</t>
  </si>
  <si>
    <t>Thừa Thiên Huế</t>
  </si>
  <si>
    <t>Tiền Giang</t>
  </si>
  <si>
    <t>TP.Hồ Chí Minh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</si>
  <si>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</si>
  <si>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</si>
  <si>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</si>
  <si>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</si>
  <si>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</si>
  <si>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</si>
  <si>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</si>
  <si>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</si>
  <si>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</si>
  <si>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</si>
  <si>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</si>
  <si>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</si>
  <si>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Hòa Bình</t>
  </si>
  <si>
    <t>Thanh Hóa</t>
  </si>
  <si>
    <t>Huế</t>
  </si>
  <si>
    <t>TP. Hồ Chí Minh</t>
  </si>
  <si>
    <t>4.259.15</t>
  </si>
  <si>
    <t>1.062.24</t>
  </si>
  <si>
    <t>1.001.09</t>
  </si>
  <si>
    <t>1.041.19</t>
  </si>
  <si>
    <t>1.986.94</t>
  </si>
  <si>
    <t>1.634.25</t>
  </si>
  <si>
    <t>1.159.52</t>
  </si>
  <si>
    <t>2.019.36</t>
  </si>
  <si>
    <t>1.899.69</t>
  </si>
  <si>
    <t>5.029.17</t>
  </si>
  <si>
    <t>1.028.01</t>
  </si>
  <si>
    <t>1.100.47</t>
  </si>
  <si>
    <t>TP. Hà Nội</t>
  </si>
  <si>
    <t>TP. Hải Phòng</t>
  </si>
  <si>
    <t>TP. Cần Thơ</t>
  </si>
  <si>
    <t>TP. Đà Nẵng</t>
  </si>
  <si>
    <t>TP. Huế</t>
  </si>
  <si>
    <t>Kiên Giang, An Giang</t>
  </si>
  <si>
    <t>Hải Dương, TP. Hải Phòng</t>
  </si>
  <si>
    <t>Bình Phước, Đồng Nai</t>
  </si>
  <si>
    <t>Hà Nam, Ninh Bình, Nam Định</t>
  </si>
  <si>
    <t>Tiền Giang, Đồng Tháp</t>
  </si>
  <si>
    <t>Bến Tre, Vĩnh Long, Trà Vinh</t>
  </si>
  <si>
    <t>Sóc Trăng, Hậu Giang, TP. Cần Thơ</t>
  </si>
  <si>
    <t>Hòa Bình, Vĩnh Phúc, Phú Thọ</t>
  </si>
  <si>
    <t>Đắk Nông, Lâm Đồng, Bình Thuận</t>
  </si>
  <si>
    <t>Bắc Giang, Bắc Ninh</t>
  </si>
  <si>
    <t>Gia Lai, Bình Định</t>
  </si>
  <si>
    <t>Thái Bình, Hưng Yên</t>
  </si>
  <si>
    <t>Phú Yên, Đắk Lắk</t>
  </si>
  <si>
    <t>Long An, Tây Ninh</t>
  </si>
  <si>
    <t>Quảng Nam, TP. Đà Nẵng</t>
  </si>
  <si>
    <t>Bạc Liêu, Cà Mau</t>
  </si>
  <si>
    <t>Quảng Ngãi, Kon Tum</t>
  </si>
  <si>
    <t>Quảng Bình, Quảng Trị</t>
  </si>
  <si>
    <t>Hà Giang, Tuyên Quang</t>
  </si>
  <si>
    <t>Bắc Kạn, Thái Nguyên</t>
  </si>
  <si>
    <t>Lào Cai, Yên Bái</t>
  </si>
  <si>
    <t>TP. Huế, Thừa Thiên Huế</t>
  </si>
  <si>
    <t>Khánh Hoà, Ninh Thuận</t>
  </si>
  <si>
    <t>Bình Dương, TPHCM, Bà Rịa - Vũng Tàu, TP.Hồ Chí Minh, TP .Hồ Chí Minh</t>
  </si>
  <si>
    <t>province_before</t>
  </si>
  <si>
    <t>province_after</t>
  </si>
  <si>
    <t>year</t>
  </si>
  <si>
    <t>population</t>
  </si>
  <si>
    <t>province</t>
  </si>
  <si>
    <t>area</t>
  </si>
  <si>
    <t>density</t>
  </si>
  <si>
    <t>retail</t>
  </si>
  <si>
    <t>income</t>
  </si>
  <si>
    <t>income_raw</t>
  </si>
  <si>
    <t>total_income</t>
  </si>
  <si>
    <t>retail_raw</t>
  </si>
  <si>
    <t>work_population</t>
  </si>
  <si>
    <t>work_population_raw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</si>
</sst>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rgb="FF222222"/>
      <name val="Times New Roman"/>
      <family val="1"/>
    </font>
    <font>
      <sz val="14"/>
      <color theme="1"/>
      <name val="Times New Roman"/>
      <family val="1"/>
    </font>
    <font>
      <sz val="14"/>
      <color rgb="FF3D3D3D"/>
      <name val="Times New Roman"/>
      <family val="1"/>
    </font>
    <font>
      <b/>
      <sz val="14"/>
      <color rgb="FF222222"/>
      <name val="Times New Roman"/>
      <family val="1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2" fontId="3" fillId="2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2" fontId="5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D905-9918-468A-BB9D-9F332ADEAF12}">
  <dimension ref="A1:H35"/>
  <sheetViews>
    <sheetView tabSelected="1" topLeftCell="C1" workbookViewId="0">
      <selection activeCell="F2" sqref="F2"/>
    </sheetView>
  </sheetViews>
  <sheetFormatPr defaultColWidth="26.1328125" defaultRowHeight="24.4" customHeight="1" x14ac:dyDescent="0.5"/>
  <cols>
    <col min="1" max="1" width="26.1328125" style="1"/>
    <col min="2" max="8" width="26.1328125" style="2"/>
    <col min="9" max="16384" width="26.1328125" style="1"/>
  </cols>
  <sheetData>
    <row r="1" spans="1:8" ht="81" customHeight="1" x14ac:dyDescent="0.5">
      <c r="A1" s="16" t="s">
        <v>110</v>
      </c>
      <c r="B1" s="16" t="s">
        <v>108</v>
      </c>
      <c r="C1" s="16" t="s">
        <v>111</v>
      </c>
      <c r="D1" s="16" t="s">
        <v>109</v>
      </c>
      <c r="E1" s="16" t="s">
        <v>112</v>
      </c>
      <c r="F1" s="16" t="s">
        <v>118</v>
      </c>
      <c r="G1" s="16" t="s">
        <v>113</v>
      </c>
      <c r="H1" s="16" t="s">
        <v>114</v>
      </c>
    </row>
    <row r="2" spans="1:8" ht="24.4" customHeight="1" x14ac:dyDescent="0.5">
      <c r="A2" s="11" t="s">
        <v>11</v>
      </c>
      <c r="B2" s="13">
        <v>2025</v>
      </c>
      <c r="C2" s="13">
        <f>SUMIFS('Dân số và diện tích từng tỉnh'!C:C, 'Dân số và diện tích từng tỉnh'!F:F, A2, 'Dân số và diện tích từng tỉnh'!B:B, B2)</f>
        <v>6700.39</v>
      </c>
      <c r="D2" s="13">
        <f>SUMIFS('Dân số và diện tích từng tỉnh'!D:D, 'Dân số và diện tích từng tỉnh'!F:F, A2, 'Dân số và diện tích từng tỉnh'!B:B, B2)</f>
        <v>562.92999999999995</v>
      </c>
      <c r="E2" s="13">
        <f t="shared" ref="E2:E35" si="0">ROUND((D2 * 1000) / C2,2)</f>
        <v>84.01</v>
      </c>
      <c r="F2" s="13">
        <f>SUMIF('Lao động theo từng tỉnh'!C:C, A2, 'Lao động theo từng tỉnh'!D:D)</f>
        <v>234.64</v>
      </c>
      <c r="G2" s="13">
        <f>SUMIF('Tổng mức bán lẻ và doanh thu'!D:D, A2, 'Tổng mức bán lẻ và doanh thu'!C:C)</f>
        <v>11094.7</v>
      </c>
      <c r="H2" s="13">
        <f>ROUND(SUMIF('Thu nhập bình quân'!C:C, A2, 'Thu nhập bình quân'!F:F) / D2,2)</f>
        <v>3144.87</v>
      </c>
    </row>
    <row r="3" spans="1:8" ht="24.4" customHeight="1" x14ac:dyDescent="0.5">
      <c r="A3" s="11" t="s">
        <v>55</v>
      </c>
      <c r="B3" s="13">
        <v>2025</v>
      </c>
      <c r="C3" s="13">
        <f>SUMIFS('Dân số và diện tích từng tỉnh'!C:C, 'Dân số và diện tích từng tỉnh'!F:F, A3, 'Dân số và diện tích từng tỉnh'!B:B, B3)</f>
        <v>9539.93</v>
      </c>
      <c r="D3" s="13">
        <f>SUMIFS('Dân số và diện tích từng tỉnh'!D:D, 'Dân số và diện tích từng tỉnh'!F:F, A3, 'Dân số và diện tích từng tỉnh'!B:B, B3)</f>
        <v>667.42</v>
      </c>
      <c r="E3" s="13">
        <f t="shared" si="0"/>
        <v>69.959999999999994</v>
      </c>
      <c r="F3" s="13">
        <f>SUMIF('Lao động theo từng tỉnh'!C:C, A3, 'Lao động theo từng tỉnh'!D:D)</f>
        <v>352.01</v>
      </c>
      <c r="G3" s="13">
        <f>SUMIF('Tổng mức bán lẻ và doanh thu'!D:D, A3, 'Tổng mức bán lẻ và doanh thu'!C:C)</f>
        <v>24313.9</v>
      </c>
      <c r="H3" s="13">
        <f>ROUND(SUMIF('Thu nhập bình quân'!C:C, A3, 'Thu nhập bình quân'!F:F) / D3,2)</f>
        <v>3721.87</v>
      </c>
    </row>
    <row r="4" spans="1:8" ht="24.4" customHeight="1" x14ac:dyDescent="0.5">
      <c r="A4" s="11" t="s">
        <v>26</v>
      </c>
      <c r="B4" s="13">
        <v>2025</v>
      </c>
      <c r="C4" s="13">
        <f>SUMIFS('Dân số và diện tích từng tỉnh'!C:C, 'Dân số và diện tích từng tỉnh'!F:F, A4, 'Dân số và diện tích từng tỉnh'!B:B, B4)</f>
        <v>9068.73</v>
      </c>
      <c r="D4" s="13">
        <f>SUMIFS('Dân số và diện tích từng tỉnh'!D:D, 'Dân số và diện tích từng tỉnh'!F:F, A4, 'Dân số và diện tích từng tỉnh'!B:B, B4)</f>
        <v>501.16</v>
      </c>
      <c r="E4" s="13">
        <f t="shared" si="0"/>
        <v>55.26</v>
      </c>
      <c r="F4" s="13">
        <f>SUMIF('Lao động theo từng tỉnh'!C:C, A4, 'Lao động theo từng tỉnh'!D:D)</f>
        <v>236.84</v>
      </c>
      <c r="G4" s="13">
        <f>SUMIF('Tổng mức bán lẻ và doanh thu'!D:D, A4, 'Tổng mức bán lẻ và doanh thu'!C:C)</f>
        <v>8939.4</v>
      </c>
      <c r="H4" s="13">
        <f>ROUND(SUMIF('Thu nhập bình quân'!C:C, A4, 'Thu nhập bình quân'!F:F) / D4,2)</f>
        <v>4099.67</v>
      </c>
    </row>
    <row r="5" spans="1:8" ht="24.4" customHeight="1" x14ac:dyDescent="0.5">
      <c r="A5" s="11" t="s">
        <v>43</v>
      </c>
      <c r="B5" s="13">
        <v>2025</v>
      </c>
      <c r="C5" s="13">
        <f>SUMIFS('Dân số và diện tích từng tỉnh'!C:C, 'Dân số và diện tích từng tỉnh'!F:F, A5, 'Dân số và diện tích từng tỉnh'!B:B, B5)</f>
        <v>14108.89</v>
      </c>
      <c r="D5" s="13">
        <f>SUMIFS('Dân số và diện tích từng tỉnh'!D:D, 'Dân số và diện tích từng tỉnh'!F:F, A5, 'Dân số và diện tích từng tỉnh'!B:B, B5)</f>
        <v>1341.22</v>
      </c>
      <c r="E5" s="13">
        <f t="shared" si="0"/>
        <v>95.06</v>
      </c>
      <c r="F5" s="13">
        <f>SUMIF('Lao động theo từng tỉnh'!C:C, A5, 'Lao động theo từng tỉnh'!D:D)</f>
        <v>625.16999999999996</v>
      </c>
      <c r="G5" s="13">
        <f>SUMIF('Tổng mức bán lẻ và doanh thu'!D:D, A5, 'Tổng mức bán lẻ và doanh thu'!C:C)</f>
        <v>37602.400000000001</v>
      </c>
      <c r="H5" s="13">
        <f>ROUND(SUMIF('Thu nhập bình quân'!C:C, A5, 'Thu nhập bình quân'!F:F) / D5,2)</f>
        <v>4747.6400000000003</v>
      </c>
    </row>
    <row r="6" spans="1:8" ht="24.4" customHeight="1" x14ac:dyDescent="0.5">
      <c r="A6" s="13" t="s">
        <v>50</v>
      </c>
      <c r="B6" s="13">
        <v>2025</v>
      </c>
      <c r="C6" s="13">
        <f>SUMIFS('Dân số và diện tích từng tỉnh'!C:C, 'Dân số và diện tích từng tỉnh'!F:F, A6, 'Dân số và diện tích từng tỉnh'!B:B, B6)</f>
        <v>13795.5</v>
      </c>
      <c r="D6" s="13">
        <f>SUMIFS('Dân số và diện tích từng tỉnh'!D:D, 'Dân số và diện tích từng tỉnh'!F:F, A6, 'Dân số và diện tích từng tỉnh'!B:B, B6)</f>
        <v>1748.25</v>
      </c>
      <c r="E6" s="13">
        <f t="shared" si="0"/>
        <v>126.73</v>
      </c>
      <c r="F6" s="13">
        <f>SUMIF('Lao động theo từng tỉnh'!C:C, A6, 'Lao động theo từng tỉnh'!D:D)</f>
        <v>768.47</v>
      </c>
      <c r="G6" s="13">
        <f>SUMIF('Tổng mức bán lẻ và doanh thu'!D:D, A6, 'Tổng mức bán lẻ và doanh thu'!C:C)</f>
        <v>53647.299999999996</v>
      </c>
      <c r="H6" s="13">
        <f>ROUND(SUMIF('Thu nhập bình quân'!C:C, A6, 'Thu nhập bình quân'!F:F) / D6,2)</f>
        <v>5522.2</v>
      </c>
    </row>
    <row r="7" spans="1:8" ht="24.4" customHeight="1" x14ac:dyDescent="0.5">
      <c r="A7" s="13" t="s">
        <v>14</v>
      </c>
      <c r="B7" s="13">
        <v>2025</v>
      </c>
      <c r="C7" s="13">
        <f>SUMIFS('Dân số và diện tích từng tỉnh'!C:C, 'Dân số và diện tích từng tỉnh'!F:F, A7, 'Dân số và diện tích từng tỉnh'!B:B, B7)</f>
        <v>21576.53</v>
      </c>
      <c r="D7" s="13">
        <f>SUMIFS('Dân số và diện tích từng tỉnh'!D:D, 'Dân số và diện tích từng tỉnh'!F:F, A7, 'Dân số và diện tích từng tỉnh'!B:B, B7)</f>
        <v>3182.65</v>
      </c>
      <c r="E7" s="13">
        <f t="shared" si="0"/>
        <v>147.51</v>
      </c>
      <c r="F7" s="13">
        <f>SUMIF('Lao động theo từng tỉnh'!C:C, A7, 'Lao động theo từng tỉnh'!D:D)</f>
        <v>1830.85</v>
      </c>
      <c r="G7" s="13">
        <f>SUMIF('Tổng mức bán lẻ và doanh thu'!D:D, A7, 'Tổng mức bán lẻ và doanh thu'!C:C)</f>
        <v>190554.3</v>
      </c>
      <c r="H7" s="13">
        <f>ROUND(SUMIF('Thu nhập bình quân'!C:C, A7, 'Thu nhập bình quân'!F:F) / D7,2)</f>
        <v>6097.12</v>
      </c>
    </row>
    <row r="8" spans="1:8" ht="24.4" customHeight="1" x14ac:dyDescent="0.5">
      <c r="A8" s="11" t="s">
        <v>30</v>
      </c>
      <c r="B8" s="13">
        <v>2025</v>
      </c>
      <c r="C8" s="13">
        <f>SUMIFS('Dân số và diện tích từng tỉnh'!C:C, 'Dân số và diện tích từng tỉnh'!F:F, A8, 'Dân số và diện tích từng tỉnh'!B:B, B8)</f>
        <v>8310.18</v>
      </c>
      <c r="D8" s="13">
        <f>SUMIFS('Dân số và diện tích từng tỉnh'!D:D, 'Dân số và diện tích từng tỉnh'!F:F, A8, 'Dân số và diện tích từng tỉnh'!B:B, B8)</f>
        <v>820.63</v>
      </c>
      <c r="E8" s="13">
        <f t="shared" si="0"/>
        <v>98.75</v>
      </c>
      <c r="F8" s="13">
        <f>SUMIF('Lao động theo từng tỉnh'!C:C, A8, 'Lao động theo từng tỉnh'!D:D)</f>
        <v>336.52</v>
      </c>
      <c r="G8" s="13">
        <f>SUMIF('Tổng mức bán lẻ và doanh thu'!D:D, A8, 'Tổng mức bán lẻ và doanh thu'!C:C)</f>
        <v>41209</v>
      </c>
      <c r="H8" s="13">
        <f>ROUND(SUMIF('Thu nhập bình quân'!C:C, A8, 'Thu nhập bình quân'!F:F) / D8,2)</f>
        <v>6497.12</v>
      </c>
    </row>
    <row r="9" spans="1:8" ht="24.4" customHeight="1" x14ac:dyDescent="0.5">
      <c r="A9" s="13" t="s">
        <v>28</v>
      </c>
      <c r="B9" s="13">
        <v>2025</v>
      </c>
      <c r="C9" s="13">
        <f>SUMIFS('Dân số và diện tích từng tỉnh'!C:C, 'Dân số và diện tích từng tỉnh'!F:F, A9, 'Dân số và diện tích từng tỉnh'!B:B, B9)</f>
        <v>13256.92</v>
      </c>
      <c r="D9" s="13">
        <f>SUMIFS('Dân số và diện tích từng tỉnh'!D:D, 'Dân số và diện tích từng tỉnh'!F:F, A9, 'Dân số và diện tích từng tỉnh'!B:B, B9)</f>
        <v>1675.67</v>
      </c>
      <c r="E9" s="13">
        <f t="shared" si="0"/>
        <v>126.4</v>
      </c>
      <c r="F9" s="13">
        <f>SUMIF('Lao động theo từng tỉnh'!C:C, A9, 'Lao động theo từng tỉnh'!D:D)</f>
        <v>786.13</v>
      </c>
      <c r="G9" s="13">
        <f>SUMIF('Tổng mức bán lẻ và doanh thu'!D:D, A9, 'Tổng mức bán lẻ và doanh thu'!C:C)</f>
        <v>59587.8</v>
      </c>
      <c r="H9" s="13">
        <f>ROUND(SUMIF('Thu nhập bình quân'!C:C, A9, 'Thu nhập bình quân'!F:F) / D9,2)</f>
        <v>6560.27</v>
      </c>
    </row>
    <row r="10" spans="1:8" ht="24.4" customHeight="1" x14ac:dyDescent="0.5">
      <c r="A10" s="13" t="s">
        <v>52</v>
      </c>
      <c r="B10" s="13">
        <v>2025</v>
      </c>
      <c r="C10" s="13">
        <f>SUMIFS('Dân số và diện tích từng tỉnh'!C:C, 'Dân số và diện tích từng tỉnh'!F:F, A10, 'Dân số và diện tích từng tỉnh'!B:B, B10)</f>
        <v>6296.1999999999989</v>
      </c>
      <c r="D10" s="13">
        <f>SUMIFS('Dân số và diện tích từng tỉnh'!D:D, 'Dân số và diện tích từng tỉnh'!F:F, A10, 'Dân số và diện tích từng tỉnh'!B:B, B10)</f>
        <v>3379.61</v>
      </c>
      <c r="E10" s="13">
        <f t="shared" si="0"/>
        <v>536.77</v>
      </c>
      <c r="F10" s="13">
        <f>SUMIF('Lao động theo từng tỉnh'!C:C, A10, 'Lao động theo từng tỉnh'!D:D)</f>
        <v>1940.3400000000001</v>
      </c>
      <c r="G10" s="13">
        <f>SUMIF('Tổng mức bán lẻ và doanh thu'!D:D, A10, 'Tổng mức bán lẻ và doanh thu'!C:C)</f>
        <v>187669.9</v>
      </c>
      <c r="H10" s="13">
        <f>ROUND(SUMIF('Thu nhập bình quân'!C:C, A10, 'Thu nhập bình quân'!F:F) / D10,2)</f>
        <v>6577.61</v>
      </c>
    </row>
    <row r="11" spans="1:8" ht="24.4" customHeight="1" x14ac:dyDescent="0.5">
      <c r="A11" s="13" t="s">
        <v>41</v>
      </c>
      <c r="B11" s="13">
        <v>2025</v>
      </c>
      <c r="C11" s="13">
        <f>SUMIFS('Dân số và diện tích từng tỉnh'!C:C, 'Dân số và diện tích từng tỉnh'!F:F, A11, 'Dân số và diện tích từng tỉnh'!B:B, B11)</f>
        <v>12699.99</v>
      </c>
      <c r="D11" s="13">
        <f>SUMIFS('Dân số và diện tích từng tỉnh'!D:D, 'Dân số và diện tích từng tỉnh'!F:F, A11, 'Dân số và diện tích từng tỉnh'!B:B, B11)</f>
        <v>1594.13</v>
      </c>
      <c r="E11" s="13">
        <f t="shared" si="0"/>
        <v>125.52</v>
      </c>
      <c r="F11" s="13">
        <f>SUMIF('Lao động theo từng tỉnh'!C:C, A11, 'Lao động theo từng tỉnh'!D:D)</f>
        <v>773.99</v>
      </c>
      <c r="G11" s="13">
        <f>SUMIF('Tổng mức bán lẻ và doanh thu'!D:D, A11, 'Tổng mức bán lẻ và doanh thu'!C:C)</f>
        <v>86261.5</v>
      </c>
      <c r="H11" s="13">
        <f>ROUND(SUMIF('Thu nhập bình quân'!C:C, A11, 'Thu nhập bình quân'!F:F) / D11,2)</f>
        <v>6685.97</v>
      </c>
    </row>
    <row r="12" spans="1:8" ht="24.4" customHeight="1" x14ac:dyDescent="0.5">
      <c r="A12" s="13" t="s">
        <v>39</v>
      </c>
      <c r="B12" s="13">
        <v>2025</v>
      </c>
      <c r="C12" s="13">
        <f>SUMIFS('Dân số và diện tích từng tỉnh'!C:C, 'Dân số và diện tích từng tỉnh'!F:F, A12, 'Dân số và diện tích từng tỉnh'!B:B, B12)</f>
        <v>14832.55</v>
      </c>
      <c r="D12" s="13">
        <f>SUMIFS('Dân số và diện tích từng tỉnh'!D:D, 'Dân số và diện tích từng tỉnh'!F:F, A12, 'Dân số và diện tích từng tỉnh'!B:B, B12)</f>
        <v>1881.24</v>
      </c>
      <c r="E12" s="13">
        <f t="shared" si="0"/>
        <v>126.83</v>
      </c>
      <c r="F12" s="13">
        <f>SUMIF('Lao động theo từng tỉnh'!C:C, A12, 'Lao động theo từng tỉnh'!D:D)</f>
        <v>1048.3700000000001</v>
      </c>
      <c r="G12" s="13">
        <f>SUMIF('Tổng mức bán lẻ và doanh thu'!D:D, A12, 'Tổng mức bán lẻ và doanh thu'!C:C)</f>
        <v>111410.40000000001</v>
      </c>
      <c r="H12" s="13">
        <f>ROUND(SUMIF('Thu nhập bình quân'!C:C, A12, 'Thu nhập bình quân'!F:F) / D12,2)</f>
        <v>6863.94</v>
      </c>
    </row>
    <row r="13" spans="1:8" ht="24.4" customHeight="1" x14ac:dyDescent="0.5">
      <c r="A13" s="13" t="s">
        <v>29</v>
      </c>
      <c r="B13" s="13">
        <v>2025</v>
      </c>
      <c r="C13" s="13">
        <f>SUMIFS('Dân số và diện tích từng tỉnh'!C:C, 'Dân số và diện tích từng tỉnh'!F:F, A13, 'Dân số và diện tích từng tỉnh'!B:B, B13)</f>
        <v>24233.07</v>
      </c>
      <c r="D13" s="13">
        <f>SUMIFS('Dân số và diện tích từng tỉnh'!D:D, 'Dân số và diện tích từng tỉnh'!F:F, A13, 'Dân số và diện tích từng tỉnh'!B:B, B13)</f>
        <v>3356.38</v>
      </c>
      <c r="E13" s="13">
        <f t="shared" si="0"/>
        <v>138.5</v>
      </c>
      <c r="F13" s="13">
        <f>SUMIF('Lao động theo từng tỉnh'!C:C, A13, 'Lao động theo từng tỉnh'!D:D)</f>
        <v>1912.97</v>
      </c>
      <c r="G13" s="13">
        <f>SUMIF('Tổng mức bán lẻ và doanh thu'!D:D, A13, 'Tổng mức bán lẻ và doanh thu'!C:C)</f>
        <v>210981.2</v>
      </c>
      <c r="H13" s="13">
        <f>ROUND(SUMIF('Thu nhập bình quân'!C:C, A13, 'Thu nhập bình quân'!F:F) / D13,2)</f>
        <v>6982.9</v>
      </c>
    </row>
    <row r="14" spans="1:8" ht="24.4" customHeight="1" x14ac:dyDescent="0.5">
      <c r="A14" s="13" t="s">
        <v>57</v>
      </c>
      <c r="B14" s="13">
        <v>2025</v>
      </c>
      <c r="C14" s="13">
        <f>SUMIFS('Dân số và diện tích từng tỉnh'!C:C, 'Dân số và diện tích từng tỉnh'!F:F, A14, 'Dân số và diện tích từng tỉnh'!B:B, B14)</f>
        <v>18096.400000000001</v>
      </c>
      <c r="D14" s="13">
        <f>SUMIFS('Dân số và diện tích từng tỉnh'!D:D, 'Dân số và diện tích từng tỉnh'!F:F, A14, 'Dân số và diện tích từng tỉnh'!B:B, B14)</f>
        <v>2849.2</v>
      </c>
      <c r="E14" s="13">
        <f t="shared" si="0"/>
        <v>157.44999999999999</v>
      </c>
      <c r="F14" s="13">
        <f>SUMIF('Lao động theo từng tỉnh'!C:C, A14, 'Lao động theo từng tỉnh'!D:D)</f>
        <v>1639.96</v>
      </c>
      <c r="G14" s="13">
        <f>SUMIF('Tổng mức bán lẻ và doanh thu'!D:D, A14, 'Tổng mức bán lẻ và doanh thu'!C:C)</f>
        <v>164415</v>
      </c>
      <c r="H14" s="13">
        <f>ROUND(SUMIF('Thu nhập bình quân'!C:C, A14, 'Thu nhập bình quân'!F:F) / D14,2)</f>
        <v>7221.91</v>
      </c>
    </row>
    <row r="15" spans="1:8" ht="24.4" customHeight="1" x14ac:dyDescent="0.5">
      <c r="A15" s="13" t="s">
        <v>12</v>
      </c>
      <c r="B15" s="13">
        <v>2025</v>
      </c>
      <c r="C15" s="13">
        <f>SUMIFS('Dân số và diện tích từng tỉnh'!C:C, 'Dân số và diện tích từng tỉnh'!F:F, A15, 'Dân số và diện tích từng tỉnh'!B:B, B15)</f>
        <v>7942.39</v>
      </c>
      <c r="D15" s="13">
        <f>SUMIFS('Dân số và diện tích từng tỉnh'!D:D, 'Dân số và diện tích từng tỉnh'!F:F, A15, 'Dân số và diện tích từng tỉnh'!B:B, B15)</f>
        <v>2150.44</v>
      </c>
      <c r="E15" s="13">
        <f t="shared" si="0"/>
        <v>270.75</v>
      </c>
      <c r="F15" s="13">
        <f>SUMIF('Lao động theo từng tỉnh'!C:C, A15, 'Lao động theo từng tỉnh'!D:D)</f>
        <v>1122.5999999999999</v>
      </c>
      <c r="G15" s="13">
        <f>SUMIF('Tổng mức bán lẻ và doanh thu'!D:D, A15, 'Tổng mức bán lẻ và doanh thu'!C:C)</f>
        <v>188145</v>
      </c>
      <c r="H15" s="13">
        <f>ROUND(SUMIF('Thu nhập bình quân'!C:C, A15, 'Thu nhập bình quân'!F:F) / D15,2)</f>
        <v>7257.55</v>
      </c>
    </row>
    <row r="16" spans="1:8" ht="24.4" customHeight="1" x14ac:dyDescent="0.5">
      <c r="A16" s="11" t="s">
        <v>18</v>
      </c>
      <c r="B16" s="13">
        <v>2025</v>
      </c>
      <c r="C16" s="13">
        <f>SUMIFS('Dân số và diện tích từng tỉnh'!C:C, 'Dân số và diện tích từng tỉnh'!F:F, A16, 'Dân số và diện tích từng tỉnh'!B:B, B16)</f>
        <v>5994.45</v>
      </c>
      <c r="D16" s="13">
        <f>SUMIFS('Dân số và diện tích từng tỉnh'!D:D, 'Dân số và diện tích từng tỉnh'!F:F, A16, 'Dân số và diện tích từng tỉnh'!B:B, B16)</f>
        <v>1335.14</v>
      </c>
      <c r="E16" s="13">
        <f t="shared" si="0"/>
        <v>222.73</v>
      </c>
      <c r="F16" s="13">
        <f>SUMIF('Lao động theo từng tỉnh'!C:C, A16, 'Lao động theo từng tỉnh'!D:D)</f>
        <v>532.22</v>
      </c>
      <c r="G16" s="13">
        <f>SUMIF('Tổng mức bán lẻ và doanh thu'!D:D, A16, 'Tổng mức bán lẻ và doanh thu'!C:C)</f>
        <v>50663.199999999997</v>
      </c>
      <c r="H16" s="13">
        <f>ROUND(SUMIF('Thu nhập bình quân'!C:C, A16, 'Thu nhập bình quân'!F:F) / D16,2)</f>
        <v>7317.08</v>
      </c>
    </row>
    <row r="17" spans="1:8" ht="24.4" customHeight="1" x14ac:dyDescent="0.5">
      <c r="A17" s="13" t="s">
        <v>79</v>
      </c>
      <c r="B17" s="13">
        <v>2025</v>
      </c>
      <c r="C17" s="13">
        <f>SUMIFS('Dân số và diện tích từng tỉnh'!C:C, 'Dân số và diện tích từng tỉnh'!F:F, A17, 'Dân số và diện tích từng tỉnh'!B:B, B17)</f>
        <v>6360.83</v>
      </c>
      <c r="D17" s="13">
        <f>SUMIFS('Dân số và diện tích từng tỉnh'!D:D, 'Dân số và diện tích từng tỉnh'!F:F, A17, 'Dân số và diện tích từng tỉnh'!B:B, B17)</f>
        <v>3224.9400000000005</v>
      </c>
      <c r="E17" s="13">
        <f t="shared" si="0"/>
        <v>507</v>
      </c>
      <c r="F17" s="13">
        <f>SUMIF('Lao động theo từng tỉnh'!C:C, A17, 'Lao động theo từng tỉnh'!D:D)</f>
        <v>1676.77</v>
      </c>
      <c r="G17" s="13">
        <f>SUMIF('Tổng mức bán lẻ và doanh thu'!D:D, A17, 'Tổng mức bán lẻ và doanh thu'!C:C)</f>
        <v>296542.40000000002</v>
      </c>
      <c r="H17" s="13">
        <f>ROUND(SUMIF('Thu nhập bình quân'!C:C, A17, 'Thu nhập bình quân'!F:F) / D17,2)</f>
        <v>7331.34</v>
      </c>
    </row>
    <row r="18" spans="1:8" ht="24.4" customHeight="1" x14ac:dyDescent="0.5">
      <c r="A18" s="13" t="s">
        <v>23</v>
      </c>
      <c r="B18" s="13">
        <v>2025</v>
      </c>
      <c r="C18" s="13">
        <f>SUMIFS('Dân số và diện tích từng tỉnh'!C:C, 'Dân số và diện tích từng tỉnh'!F:F, A18, 'Dân số và diện tích từng tỉnh'!B:B, B18)</f>
        <v>8555.86</v>
      </c>
      <c r="D18" s="13">
        <f>SUMIFS('Dân số và diện tích từng tỉnh'!D:D, 'Dân số và diện tích từng tỉnh'!F:F, A18, 'Dân số và diện tích từng tỉnh'!B:B, B18)</f>
        <v>1898.5499999999997</v>
      </c>
      <c r="E18" s="13">
        <f t="shared" si="0"/>
        <v>221.9</v>
      </c>
      <c r="F18" s="13">
        <f>SUMIF('Lao động theo từng tỉnh'!C:C, A18, 'Lao động theo từng tỉnh'!D:D)</f>
        <v>1047.48</v>
      </c>
      <c r="G18" s="13">
        <f>SUMIF('Tổng mức bán lẻ và doanh thu'!D:D, A18, 'Tổng mức bán lẻ và doanh thu'!C:C)</f>
        <v>147866.20000000001</v>
      </c>
      <c r="H18" s="13">
        <f>ROUND(SUMIF('Thu nhập bình quân'!C:C, A18, 'Thu nhập bình quân'!F:F) / D18,2)</f>
        <v>7334.36</v>
      </c>
    </row>
    <row r="19" spans="1:8" ht="24.4" customHeight="1" x14ac:dyDescent="0.5">
      <c r="A19" s="13" t="s">
        <v>32</v>
      </c>
      <c r="B19" s="13">
        <v>2025</v>
      </c>
      <c r="C19" s="13">
        <f>SUMIFS('Dân số và diện tích từng tỉnh'!C:C, 'Dân số và diện tích từng tỉnh'!F:F, A19, 'Dân số và diện tích từng tỉnh'!B:B, B19)</f>
        <v>16486.5</v>
      </c>
      <c r="D19" s="13">
        <f>SUMIFS('Dân số và diện tích từng tỉnh'!D:D, 'Dân số và diện tích từng tỉnh'!F:F, A19, 'Dân số và diện tích từng tỉnh'!B:B, B19)</f>
        <v>3497.75</v>
      </c>
      <c r="E19" s="13">
        <f t="shared" si="0"/>
        <v>212.16</v>
      </c>
      <c r="F19" s="13">
        <f>SUMIF('Lao động theo từng tỉnh'!C:C, A19, 'Lao động theo từng tỉnh'!D:D)</f>
        <v>1634.25</v>
      </c>
      <c r="G19" s="13">
        <f>SUMIF('Tổng mức bán lẻ và doanh thu'!D:D, A19, 'Tổng mức bán lẻ và doanh thu'!C:C)</f>
        <v>130659.2</v>
      </c>
      <c r="H19" s="13">
        <f>ROUND(SUMIF('Thu nhập bình quân'!C:C, A19, 'Thu nhập bình quân'!F:F) / D19,2)</f>
        <v>7425.17</v>
      </c>
    </row>
    <row r="20" spans="1:8" ht="24.4" customHeight="1" x14ac:dyDescent="0.5">
      <c r="A20" s="13" t="s">
        <v>62</v>
      </c>
      <c r="B20" s="13">
        <v>2025</v>
      </c>
      <c r="C20" s="13">
        <f>SUMIFS('Dân số và diện tích từng tỉnh'!C:C, 'Dân số và diện tích từng tỉnh'!F:F, A20, 'Dân số và diện tích từng tỉnh'!B:B, B20)</f>
        <v>11114.71</v>
      </c>
      <c r="D20" s="13">
        <f>SUMIFS('Dân số và diện tích từng tỉnh'!D:D, 'Dân số và diện tích từng tỉnh'!F:F, A20, 'Dân số và diện tích từng tỉnh'!B:B, B20)</f>
        <v>3771.77</v>
      </c>
      <c r="E20" s="13">
        <f t="shared" si="0"/>
        <v>339.35</v>
      </c>
      <c r="F20" s="13">
        <f>SUMIF('Lao động theo từng tỉnh'!C:C, A20, 'Lao động theo từng tỉnh'!D:D)</f>
        <v>1986.94</v>
      </c>
      <c r="G20" s="13">
        <f>SUMIF('Tổng mức bán lẻ và doanh thu'!D:D, A20, 'Tổng mức bán lẻ và doanh thu'!C:C)</f>
        <v>185913.3</v>
      </c>
      <c r="H20" s="13">
        <f>ROUND(SUMIF('Thu nhập bình quân'!C:C, A20, 'Thu nhập bình quân'!F:F) / D20,2)</f>
        <v>7503.82</v>
      </c>
    </row>
    <row r="21" spans="1:8" ht="24.4" customHeight="1" x14ac:dyDescent="0.5">
      <c r="A21" s="13" t="s">
        <v>0</v>
      </c>
      <c r="B21" s="13">
        <v>2025</v>
      </c>
      <c r="C21" s="13">
        <f>SUMIFS('Dân số và diện tích từng tỉnh'!C:C, 'Dân số và diện tích từng tỉnh'!F:F, A21, 'Dân số và diện tích từng tỉnh'!B:B, B21)</f>
        <v>9888.91</v>
      </c>
      <c r="D21" s="13">
        <f>SUMIFS('Dân số và diện tích từng tỉnh'!D:D, 'Dân số và diện tích từng tỉnh'!F:F, A21, 'Dân số và diện tích từng tỉnh'!B:B, B21)</f>
        <v>3694.59</v>
      </c>
      <c r="E21" s="13">
        <f t="shared" si="0"/>
        <v>373.61</v>
      </c>
      <c r="F21" s="13">
        <f>SUMIF('Lao động theo từng tỉnh'!C:C, A21, 'Lao động theo từng tỉnh'!D:D)</f>
        <v>1864.85</v>
      </c>
      <c r="G21" s="13">
        <f>SUMIF('Tổng mức bán lẻ và doanh thu'!D:D, A21, 'Tổng mức bán lẻ và doanh thu'!C:C)</f>
        <v>297837.2</v>
      </c>
      <c r="H21" s="13">
        <f>ROUND(SUMIF('Thu nhập bình quân'!C:C, A21, 'Thu nhập bình quân'!F:F) / D21,2)</f>
        <v>7601.14</v>
      </c>
    </row>
    <row r="22" spans="1:8" ht="24.4" customHeight="1" x14ac:dyDescent="0.5">
      <c r="A22" s="11" t="s">
        <v>81</v>
      </c>
      <c r="B22" s="13">
        <v>2025</v>
      </c>
      <c r="C22" s="13">
        <f>SUMIFS('Dân số và diện tích từng tỉnh'!C:C, 'Dân số và diện tích từng tỉnh'!F:F, A22, 'Dân số và diện tích từng tỉnh'!B:B, B22)</f>
        <v>4947.1099999999997</v>
      </c>
      <c r="D22" s="13">
        <f>SUMIFS('Dân số và diện tích từng tỉnh'!D:D, 'Dân số và diện tích từng tỉnh'!F:F, A22, 'Dân số và diện tích từng tỉnh'!B:B, B22)</f>
        <v>1190.3399999999999</v>
      </c>
      <c r="E22" s="13">
        <f t="shared" si="0"/>
        <v>240.61</v>
      </c>
      <c r="F22" s="13">
        <f>SUMIF('Lao động theo từng tỉnh'!C:C, A22, 'Lao động theo từng tỉnh'!D:D)</f>
        <v>628.52</v>
      </c>
      <c r="G22" s="13">
        <f>SUMIF('Tổng mức bán lẻ và doanh thu'!D:D, A22, 'Tổng mức bán lẻ và doanh thu'!C:C)</f>
        <v>60382.5</v>
      </c>
      <c r="H22" s="13">
        <f>ROUND(SUMIF('Thu nhập bình quân'!C:C, A22, 'Thu nhập bình quân'!F:F) / D22,2)</f>
        <v>7699.69</v>
      </c>
    </row>
    <row r="23" spans="1:8" ht="24.4" customHeight="1" x14ac:dyDescent="0.5">
      <c r="A23" s="13" t="s">
        <v>45</v>
      </c>
      <c r="B23" s="13">
        <v>2025</v>
      </c>
      <c r="C23" s="13">
        <f>SUMIFS('Dân số và diện tích từng tỉnh'!C:C, 'Dân số và diện tích từng tỉnh'!F:F, A23, 'Dân số và diện tích từng tỉnh'!B:B, B23)</f>
        <v>8375.2099999999991</v>
      </c>
      <c r="D23" s="13">
        <f>SUMIFS('Dân số và diện tích từng tỉnh'!D:D, 'Dân số và diện tích từng tỉnh'!F:F, A23, 'Dân số và diện tích từng tỉnh'!B:B, B23)</f>
        <v>1711.58</v>
      </c>
      <c r="E23" s="13">
        <f t="shared" si="0"/>
        <v>204.36</v>
      </c>
      <c r="F23" s="13">
        <f>SUMIF('Lao động theo từng tỉnh'!C:C, A23, 'Lao động theo từng tỉnh'!D:D)</f>
        <v>781.38</v>
      </c>
      <c r="G23" s="13">
        <f>SUMIF('Tổng mức bán lẻ và doanh thu'!D:D, A23, 'Tổng mức bán lẻ và doanh thu'!C:C)</f>
        <v>79024.599999999991</v>
      </c>
      <c r="H23" s="13">
        <f>ROUND(SUMIF('Thu nhập bình quân'!C:C, A23, 'Thu nhập bình quân'!F:F) / D23,2)</f>
        <v>7733.99</v>
      </c>
    </row>
    <row r="24" spans="1:8" ht="24.4" customHeight="1" x14ac:dyDescent="0.5">
      <c r="A24" s="13" t="s">
        <v>60</v>
      </c>
      <c r="B24" s="13">
        <v>2025</v>
      </c>
      <c r="C24" s="13">
        <f>SUMIFS('Dân số và diện tích từng tỉnh'!C:C, 'Dân số và diện tích từng tỉnh'!F:F, A24, 'Dân số và diện tích từng tỉnh'!B:B, B24)</f>
        <v>5938.64</v>
      </c>
      <c r="D24" s="13">
        <f>SUMIFS('Dân số và diện tích từng tỉnh'!D:D, 'Dân số và diện tích từng tỉnh'!F:F, A24, 'Dân số và diện tích từng tỉnh'!B:B, B24)</f>
        <v>3403.7799999999997</v>
      </c>
      <c r="E24" s="13">
        <f t="shared" si="0"/>
        <v>573.16</v>
      </c>
      <c r="F24" s="13">
        <f>SUMIF('Lao động theo từng tỉnh'!C:C, A24, 'Lao động theo từng tỉnh'!D:D)</f>
        <v>2010.26</v>
      </c>
      <c r="G24" s="13">
        <f>SUMIF('Tổng mức bán lẻ và doanh thu'!D:D, A24, 'Tổng mức bán lẻ và doanh thu'!C:C)</f>
        <v>238736.59999999998</v>
      </c>
      <c r="H24" s="13">
        <f>ROUND(SUMIF('Thu nhập bình quân'!C:C, A24, 'Thu nhập bình quân'!F:F) / D24,2)</f>
        <v>7986.08</v>
      </c>
    </row>
    <row r="25" spans="1:8" ht="24.4" customHeight="1" x14ac:dyDescent="0.5">
      <c r="A25" s="13" t="s">
        <v>35</v>
      </c>
      <c r="B25" s="13">
        <v>2025</v>
      </c>
      <c r="C25" s="13">
        <f>SUMIFS('Dân số và diện tích từng tỉnh'!C:C, 'Dân số và diện tích từng tỉnh'!F:F, A25, 'Dân số và diện tích từng tỉnh'!B:B, B25)</f>
        <v>9361.3799999999992</v>
      </c>
      <c r="D25" s="13">
        <f>SUMIFS('Dân số và diện tích từng tỉnh'!D:D, 'Dân số và diện tích từng tỉnh'!F:F, A25, 'Dân số và diện tích từng tỉnh'!B:B, B25)</f>
        <v>3701.54</v>
      </c>
      <c r="E25" s="13">
        <f t="shared" si="0"/>
        <v>395.41</v>
      </c>
      <c r="F25" s="13">
        <f>SUMIF('Lao động theo từng tỉnh'!C:C, A25, 'Lao động theo từng tỉnh'!D:D)</f>
        <v>1869.69</v>
      </c>
      <c r="G25" s="13">
        <f>SUMIF('Tổng mức bán lẻ và doanh thu'!D:D, A25, 'Tổng mức bán lẻ và doanh thu'!C:C)</f>
        <v>163346.4</v>
      </c>
      <c r="H25" s="13">
        <f>ROUND(SUMIF('Thu nhập bình quân'!C:C, A25, 'Thu nhập bình quân'!F:F) / D25,2)</f>
        <v>8027.22</v>
      </c>
    </row>
    <row r="26" spans="1:8" ht="24.4" customHeight="1" x14ac:dyDescent="0.5">
      <c r="A26" s="13" t="s">
        <v>80</v>
      </c>
      <c r="B26" s="13">
        <v>2025</v>
      </c>
      <c r="C26" s="13">
        <f>SUMIFS('Dân số và diện tích từng tỉnh'!C:C, 'Dân số và diện tích từng tỉnh'!F:F, A26, 'Dân số và diện tích từng tỉnh'!B:B, B26)</f>
        <v>11859.59</v>
      </c>
      <c r="D26" s="13">
        <f>SUMIFS('Dân số và diện tích từng tỉnh'!D:D, 'Dân số và diện tích từng tỉnh'!F:F, A26, 'Dân số và diện tích từng tỉnh'!B:B, B26)</f>
        <v>2856.38</v>
      </c>
      <c r="E26" s="13">
        <f t="shared" si="0"/>
        <v>240.85</v>
      </c>
      <c r="F26" s="13">
        <f>SUMIF('Lao động theo từng tỉnh'!C:C, A26, 'Lao động theo từng tỉnh'!D:D)</f>
        <v>1531.58</v>
      </c>
      <c r="G26" s="13">
        <f>SUMIF('Tổng mức bán lẻ và doanh thu'!D:D, A26, 'Tổng mức bán lẻ và doanh thu'!C:C)</f>
        <v>167487.6</v>
      </c>
      <c r="H26" s="13">
        <f>ROUND(SUMIF('Thu nhập bình quân'!C:C, A26, 'Thu nhập bình quân'!F:F) / D26,2)</f>
        <v>8252.6299999999992</v>
      </c>
    </row>
    <row r="27" spans="1:8" ht="24.4" customHeight="1" x14ac:dyDescent="0.5">
      <c r="A27" s="13" t="s">
        <v>51</v>
      </c>
      <c r="B27" s="13">
        <v>2025</v>
      </c>
      <c r="C27" s="13">
        <f>SUMIFS('Dân số và diện tích từng tỉnh'!C:C, 'Dân số và diện tích từng tỉnh'!F:F, A27, 'Dân số và diện tích từng tỉnh'!B:B, B27)</f>
        <v>8536.44</v>
      </c>
      <c r="D27" s="13">
        <f>SUMIFS('Dân số và diện tích từng tỉnh'!D:D, 'Dân số và diện tích từng tỉnh'!F:F, A27, 'Dân số và diện tích từng tỉnh'!B:B, B27)</f>
        <v>2980.29</v>
      </c>
      <c r="E27" s="13">
        <f t="shared" si="0"/>
        <v>349.13</v>
      </c>
      <c r="F27" s="13">
        <f>SUMIF('Lao động theo từng tỉnh'!C:C, A27, 'Lao động theo từng tỉnh'!D:D)</f>
        <v>1724.27</v>
      </c>
      <c r="G27" s="13">
        <f>SUMIF('Tổng mức bán lẻ và doanh thu'!D:D, A27, 'Tổng mức bán lẻ và doanh thu'!C:C)</f>
        <v>211775.2</v>
      </c>
      <c r="H27" s="13">
        <f>ROUND(SUMIF('Thu nhập bình quân'!C:C, A27, 'Thu nhập bình quân'!F:F) / D27,2)</f>
        <v>8308.33</v>
      </c>
    </row>
    <row r="28" spans="1:8" ht="24.4" customHeight="1" x14ac:dyDescent="0.5">
      <c r="A28" s="13" t="s">
        <v>33</v>
      </c>
      <c r="B28" s="13">
        <v>2025</v>
      </c>
      <c r="C28" s="13">
        <f>SUMIFS('Dân số và diện tích từng tỉnh'!C:C, 'Dân số và diện tích từng tỉnh'!F:F, A28, 'Dân số và diện tích từng tỉnh'!B:B, B28)</f>
        <v>3942.62</v>
      </c>
      <c r="D28" s="13">
        <f>SUMIFS('Dân số và diện tích từng tỉnh'!D:D, 'Dân số và diện tích từng tỉnh'!F:F, A28, 'Dân số và diện tích từng tỉnh'!B:B, B28)</f>
        <v>3843.77</v>
      </c>
      <c r="E28" s="13">
        <f t="shared" si="0"/>
        <v>974.93</v>
      </c>
      <c r="F28" s="13">
        <f>SUMIF('Lao động theo từng tỉnh'!C:C, A28, 'Lao động theo từng tỉnh'!D:D)</f>
        <v>1950.4899999999998</v>
      </c>
      <c r="G28" s="13">
        <f>SUMIF('Tổng mức bán lẻ và doanh thu'!D:D, A28, 'Tổng mức bán lẻ và doanh thu'!C:C)</f>
        <v>197507.4</v>
      </c>
      <c r="H28" s="13">
        <f>ROUND(SUMIF('Thu nhập bình quân'!C:C, A28, 'Thu nhập bình quân'!F:F) / D28,2)</f>
        <v>8440.94</v>
      </c>
    </row>
    <row r="29" spans="1:8" ht="24.4" customHeight="1" x14ac:dyDescent="0.5">
      <c r="A29" s="13" t="s">
        <v>19</v>
      </c>
      <c r="B29" s="13">
        <v>2025</v>
      </c>
      <c r="C29" s="13">
        <f>SUMIFS('Dân số và diện tích từng tỉnh'!C:C, 'Dân số và diện tích từng tỉnh'!F:F, A29, 'Dân số và diện tích từng tỉnh'!B:B, B29)</f>
        <v>2514.81</v>
      </c>
      <c r="D29" s="13">
        <f>SUMIFS('Dân số và diện tích từng tỉnh'!D:D, 'Dân số và diện tích từng tỉnh'!F:F, A29, 'Dân số và diện tích từng tỉnh'!B:B, B29)</f>
        <v>3235.17</v>
      </c>
      <c r="E29" s="13">
        <f t="shared" si="0"/>
        <v>1286.45</v>
      </c>
      <c r="F29" s="13">
        <f>SUMIF('Lao động theo từng tỉnh'!C:C, A29, 'Lao động theo từng tỉnh'!D:D)</f>
        <v>1697.3000000000002</v>
      </c>
      <c r="G29" s="13">
        <f>SUMIF('Tổng mức bán lẻ và doanh thu'!D:D, A29, 'Tổng mức bán lẻ và doanh thu'!C:C)</f>
        <v>133172.29999999999</v>
      </c>
      <c r="H29" s="13">
        <f>ROUND(SUMIF('Thu nhập bình quân'!C:C, A29, 'Thu nhập bình quân'!F:F) / D29,2)</f>
        <v>8627.25</v>
      </c>
    </row>
    <row r="30" spans="1:8" ht="24.4" customHeight="1" x14ac:dyDescent="0.5">
      <c r="A30" s="13" t="s">
        <v>9</v>
      </c>
      <c r="B30" s="13">
        <v>2025</v>
      </c>
      <c r="C30" s="13">
        <f>SUMIFS('Dân số và diện tích từng tỉnh'!C:C, 'Dân số và diện tích từng tỉnh'!F:F, A30, 'Dân số và diện tích từng tỉnh'!B:B, B30)</f>
        <v>4718.6000000000004</v>
      </c>
      <c r="D30" s="13">
        <f>SUMIFS('Dân số và diện tích từng tỉnh'!D:D, 'Dân số và diện tích từng tỉnh'!F:F, A30, 'Dân số và diện tích từng tỉnh'!B:B, B30)</f>
        <v>3572.3500000000004</v>
      </c>
      <c r="E30" s="13">
        <f t="shared" si="0"/>
        <v>757.08</v>
      </c>
      <c r="F30" s="13">
        <f>SUMIF('Lao động theo từng tỉnh'!C:C, A30, 'Lao động theo từng tỉnh'!D:D)</f>
        <v>1859.5</v>
      </c>
      <c r="G30" s="13">
        <f>SUMIF('Tổng mức bán lẻ và doanh thu'!D:D, A30, 'Tổng mức bán lẻ và doanh thu'!C:C)</f>
        <v>138346.5</v>
      </c>
      <c r="H30" s="13">
        <f>ROUND(SUMIF('Thu nhập bình quân'!C:C, A30, 'Thu nhập bình quân'!F:F) / D30,2)</f>
        <v>8738.0300000000007</v>
      </c>
    </row>
    <row r="31" spans="1:8" ht="24.4" customHeight="1" x14ac:dyDescent="0.5">
      <c r="A31" s="13" t="s">
        <v>59</v>
      </c>
      <c r="B31" s="13">
        <v>2025</v>
      </c>
      <c r="C31" s="13">
        <f>SUMIFS('Dân số và diện tích từng tỉnh'!C:C, 'Dân số và diện tích từng tỉnh'!F:F, A31, 'Dân số và diện tích từng tỉnh'!B:B, B31)</f>
        <v>12737.18</v>
      </c>
      <c r="D31" s="13">
        <f>SUMIFS('Dân số và diện tích từng tỉnh'!D:D, 'Dân số và diện tích từng tỉnh'!F:F, A31, 'Dân số và diện tích từng tỉnh'!B:B, B31)</f>
        <v>4493.6900000000005</v>
      </c>
      <c r="E31" s="13">
        <f t="shared" si="0"/>
        <v>352.8</v>
      </c>
      <c r="F31" s="13">
        <f>SUMIF('Lao động theo từng tỉnh'!C:C, A31, 'Lao động theo từng tỉnh'!D:D)</f>
        <v>2509.15</v>
      </c>
      <c r="G31" s="13">
        <f>SUMIF('Tổng mức bán lẻ và doanh thu'!D:D, A31, 'Tổng mức bán lẻ và doanh thu'!C:C)</f>
        <v>359674.8</v>
      </c>
      <c r="H31" s="13">
        <f>ROUND(SUMIF('Thu nhập bình quân'!C:C, A31, 'Thu nhập bình quân'!F:F) / D31,2)</f>
        <v>9606.3700000000008</v>
      </c>
    </row>
    <row r="32" spans="1:8" ht="24.4" customHeight="1" x14ac:dyDescent="0.5">
      <c r="A32" s="11" t="s">
        <v>40</v>
      </c>
      <c r="B32" s="13">
        <v>2025</v>
      </c>
      <c r="C32" s="13">
        <f>SUMIFS('Dân số và diện tích từng tỉnh'!C:C, 'Dân số và diện tích từng tỉnh'!F:F, A32, 'Dân số và diện tích từng tỉnh'!B:B, B32)</f>
        <v>6207.95</v>
      </c>
      <c r="D32" s="13">
        <f>SUMIFS('Dân số và diện tích từng tỉnh'!D:D, 'Dân số và diện tích từng tỉnh'!F:F, A32, 'Dân số và diện tích từng tỉnh'!B:B, B32)</f>
        <v>1411.58</v>
      </c>
      <c r="E32" s="13">
        <f t="shared" si="0"/>
        <v>227.38</v>
      </c>
      <c r="F32" s="13">
        <f>SUMIF('Lao động theo từng tỉnh'!C:C, A32, 'Lao động theo từng tỉnh'!D:D)</f>
        <v>695.25</v>
      </c>
      <c r="G32" s="13">
        <f>SUMIF('Tổng mức bán lẻ và doanh thu'!D:D, A32, 'Tổng mức bán lẻ và doanh thu'!C:C)</f>
        <v>190866</v>
      </c>
      <c r="H32" s="13">
        <f>ROUND(SUMIF('Thu nhập bình quân'!C:C, A32, 'Thu nhập bình quân'!F:F) / D32,2)</f>
        <v>9806.94</v>
      </c>
    </row>
    <row r="33" spans="1:8" ht="24.4" customHeight="1" x14ac:dyDescent="0.5">
      <c r="A33" s="13" t="s">
        <v>78</v>
      </c>
      <c r="B33" s="13">
        <v>2025</v>
      </c>
      <c r="C33" s="13">
        <f>SUMIFS('Dân số và diện tích từng tỉnh'!C:C, 'Dân số và diện tích từng tỉnh'!F:F, A33, 'Dân số và diện tích từng tỉnh'!B:B, B33)</f>
        <v>3194.7200000000003</v>
      </c>
      <c r="D33" s="13">
        <f>SUMIFS('Dân số và diện tích từng tỉnh'!D:D, 'Dân số và diện tích từng tỉnh'!F:F, A33, 'Dân số và diện tích từng tỉnh'!B:B, B33)</f>
        <v>4149.88</v>
      </c>
      <c r="E33" s="13">
        <f t="shared" si="0"/>
        <v>1298.98</v>
      </c>
      <c r="F33" s="13">
        <f>SUMIF('Lao động theo từng tỉnh'!C:C, A33, 'Lao động theo từng tỉnh'!D:D)</f>
        <v>2009.77</v>
      </c>
      <c r="G33" s="13">
        <f>SUMIF('Tổng mức bán lẻ và doanh thu'!D:D, A33, 'Tổng mức bán lẻ và doanh thu'!C:C)</f>
        <v>311048</v>
      </c>
      <c r="H33" s="13">
        <f>ROUND(SUMIF('Thu nhập bình quân'!C:C, A33, 'Thu nhập bình quân'!F:F) / D33,2)</f>
        <v>9874.9599999999991</v>
      </c>
    </row>
    <row r="34" spans="1:8" ht="24.4" customHeight="1" x14ac:dyDescent="0.5">
      <c r="A34" s="13" t="s">
        <v>64</v>
      </c>
      <c r="B34" s="13">
        <v>2025</v>
      </c>
      <c r="C34" s="13">
        <f>SUMIFS('Dân số và diện tích từng tỉnh'!C:C, 'Dân số và diện tích từng tỉnh'!F:F, A34, 'Dân số và diện tích từng tỉnh'!B:B, B34)</f>
        <v>6772.59</v>
      </c>
      <c r="D34" s="13">
        <f>SUMIFS('Dân số và diện tích từng tỉnh'!D:D, 'Dân số và diện tích từng tỉnh'!F:F, A34, 'Dân số và diện tích từng tỉnh'!B:B, B34)</f>
        <v>13803.79</v>
      </c>
      <c r="E34" s="13">
        <f t="shared" si="0"/>
        <v>2038.18</v>
      </c>
      <c r="F34" s="13">
        <f>SUMIF('Lao động theo từng tỉnh'!C:C, A34, 'Lao động theo từng tỉnh'!D:D)</f>
        <v>7681.98</v>
      </c>
      <c r="G34" s="13">
        <f>SUMIF('Tổng mức bán lẻ và doanh thu'!D:D, A34, 'Tổng mức bán lẻ và doanh thu'!C:C)</f>
        <v>1585693</v>
      </c>
      <c r="H34" s="13">
        <f>ROUND(SUMIF('Thu nhập bình quân'!C:C, A34, 'Thu nhập bình quân'!F:F) / D34,2)</f>
        <v>10472.08</v>
      </c>
    </row>
    <row r="35" spans="1:8" ht="24.4" customHeight="1" x14ac:dyDescent="0.5">
      <c r="A35" s="13" t="s">
        <v>77</v>
      </c>
      <c r="B35" s="13">
        <v>2025</v>
      </c>
      <c r="C35" s="13">
        <f>SUMIFS('Dân số và diện tích từng tỉnh'!C:C, 'Dân số và diện tích từng tỉnh'!F:F, A35, 'Dân số và diện tích từng tỉnh'!B:B, B35)</f>
        <v>3359.84</v>
      </c>
      <c r="D35" s="13">
        <f>SUMIFS('Dân số và diện tích từng tỉnh'!D:D, 'Dân số và diện tích từng tỉnh'!F:F, A35, 'Dân số và diện tích từng tỉnh'!B:B, B35)</f>
        <v>8857.5300000000007</v>
      </c>
      <c r="E35" s="13">
        <f t="shared" si="0"/>
        <v>2636.3</v>
      </c>
      <c r="F35" s="13">
        <f>SUMIF('Lao động theo từng tỉnh'!C:C, A35, 'Lao động theo từng tỉnh'!D:D)</f>
        <v>4259.1499999999996</v>
      </c>
      <c r="G35" s="13">
        <f>SUMIF('Tổng mức bán lẻ và doanh thu'!D:D, A35, 'Tổng mức bán lẻ và doanh thu'!C:C)</f>
        <v>780610.2</v>
      </c>
      <c r="H35" s="13">
        <f>ROUND(SUMIF('Thu nhập bình quân'!C:C, A35, 'Thu nhập bình quân'!F:F) / D35,2)</f>
        <v>12133.15</v>
      </c>
    </row>
  </sheetData>
  <autoFilter ref="A1:H35" xr:uid="{1556D905-9918-468A-BB9D-9F332ADEAF12}">
    <sortState xmlns:xlrd2="http://schemas.microsoft.com/office/spreadsheetml/2017/richdata2" ref="A2:H35">
      <sortCondition ref="H1:H3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98FFF-BDB0-42D6-8AED-2E2D098E0CCC}">
  <dimension ref="A1:B35"/>
  <sheetViews>
    <sheetView workbookViewId="0">
      <selection activeCell="A5" sqref="A5"/>
    </sheetView>
  </sheetViews>
  <sheetFormatPr defaultColWidth="32.796875" defaultRowHeight="26.35" customHeight="1" x14ac:dyDescent="0.5"/>
  <cols>
    <col min="1" max="1" width="45.1328125" style="15" customWidth="1"/>
    <col min="2" max="2" width="36.265625" style="2" customWidth="1"/>
    <col min="3" max="16384" width="32.796875" style="1"/>
  </cols>
  <sheetData>
    <row r="1" spans="1:2" ht="30.85" customHeight="1" x14ac:dyDescent="0.5">
      <c r="A1" s="16" t="s">
        <v>106</v>
      </c>
      <c r="B1" s="24" t="s">
        <v>107</v>
      </c>
    </row>
    <row r="2" spans="1:2" ht="40.5" customHeight="1" x14ac:dyDescent="0.5">
      <c r="A2" s="19" t="s">
        <v>105</v>
      </c>
      <c r="B2" s="13" t="s">
        <v>64</v>
      </c>
    </row>
    <row r="3" spans="1:2" ht="26.35" customHeight="1" x14ac:dyDescent="0.5">
      <c r="A3" s="19" t="s">
        <v>77</v>
      </c>
      <c r="B3" s="13" t="s">
        <v>77</v>
      </c>
    </row>
    <row r="4" spans="1:2" ht="26.35" customHeight="1" x14ac:dyDescent="0.5">
      <c r="A4" s="19" t="s">
        <v>82</v>
      </c>
      <c r="B4" s="13" t="s">
        <v>0</v>
      </c>
    </row>
    <row r="5" spans="1:2" ht="26.35" customHeight="1" x14ac:dyDescent="0.5">
      <c r="A5" s="19" t="s">
        <v>83</v>
      </c>
      <c r="B5" s="13" t="s">
        <v>78</v>
      </c>
    </row>
    <row r="6" spans="1:2" ht="26.35" customHeight="1" x14ac:dyDescent="0.5">
      <c r="A6" s="19" t="s">
        <v>84</v>
      </c>
      <c r="B6" s="13" t="s">
        <v>59</v>
      </c>
    </row>
    <row r="7" spans="1:2" ht="26.35" customHeight="1" x14ac:dyDescent="0.5">
      <c r="A7" s="19" t="s">
        <v>85</v>
      </c>
      <c r="B7" s="13" t="s">
        <v>33</v>
      </c>
    </row>
    <row r="8" spans="1:2" ht="26.35" customHeight="1" x14ac:dyDescent="0.5">
      <c r="A8" s="19" t="s">
        <v>86</v>
      </c>
      <c r="B8" s="13" t="s">
        <v>60</v>
      </c>
    </row>
    <row r="9" spans="1:2" ht="26.35" customHeight="1" x14ac:dyDescent="0.5">
      <c r="A9" s="19" t="s">
        <v>62</v>
      </c>
      <c r="B9" s="13" t="s">
        <v>62</v>
      </c>
    </row>
    <row r="10" spans="1:2" ht="26.35" customHeight="1" x14ac:dyDescent="0.5">
      <c r="A10" s="19" t="s">
        <v>87</v>
      </c>
      <c r="B10" s="13" t="s">
        <v>52</v>
      </c>
    </row>
    <row r="11" spans="1:2" ht="26.35" customHeight="1" x14ac:dyDescent="0.5">
      <c r="A11" s="19" t="s">
        <v>88</v>
      </c>
      <c r="B11" s="13" t="s">
        <v>79</v>
      </c>
    </row>
    <row r="12" spans="1:2" ht="26.35" customHeight="1" x14ac:dyDescent="0.5">
      <c r="A12" s="19" t="s">
        <v>89</v>
      </c>
      <c r="B12" s="13" t="s">
        <v>35</v>
      </c>
    </row>
    <row r="13" spans="1:2" ht="26.35" customHeight="1" x14ac:dyDescent="0.5">
      <c r="A13" s="19" t="s">
        <v>90</v>
      </c>
      <c r="B13" s="13" t="s">
        <v>29</v>
      </c>
    </row>
    <row r="14" spans="1:2" ht="26.35" customHeight="1" x14ac:dyDescent="0.5">
      <c r="A14" s="19" t="s">
        <v>32</v>
      </c>
      <c r="B14" s="13" t="s">
        <v>32</v>
      </c>
    </row>
    <row r="15" spans="1:2" ht="26.35" customHeight="1" x14ac:dyDescent="0.5">
      <c r="A15" s="19" t="s">
        <v>91</v>
      </c>
      <c r="B15" s="13" t="s">
        <v>9</v>
      </c>
    </row>
    <row r="16" spans="1:2" ht="26.35" customHeight="1" x14ac:dyDescent="0.5">
      <c r="A16" s="19" t="s">
        <v>92</v>
      </c>
      <c r="B16" s="13" t="s">
        <v>14</v>
      </c>
    </row>
    <row r="17" spans="1:2" ht="26.35" customHeight="1" x14ac:dyDescent="0.5">
      <c r="A17" s="19" t="s">
        <v>93</v>
      </c>
      <c r="B17" s="13" t="s">
        <v>19</v>
      </c>
    </row>
    <row r="18" spans="1:2" ht="26.35" customHeight="1" x14ac:dyDescent="0.5">
      <c r="A18" s="19" t="s">
        <v>94</v>
      </c>
      <c r="B18" s="13" t="s">
        <v>57</v>
      </c>
    </row>
    <row r="19" spans="1:2" ht="26.35" customHeight="1" x14ac:dyDescent="0.5">
      <c r="A19" s="19" t="s">
        <v>95</v>
      </c>
      <c r="B19" s="13" t="s">
        <v>51</v>
      </c>
    </row>
    <row r="20" spans="1:2" ht="26.35" customHeight="1" x14ac:dyDescent="0.5">
      <c r="A20" s="19" t="s">
        <v>96</v>
      </c>
      <c r="B20" s="13" t="s">
        <v>80</v>
      </c>
    </row>
    <row r="21" spans="1:2" ht="26.35" customHeight="1" x14ac:dyDescent="0.5">
      <c r="A21" s="19" t="s">
        <v>97</v>
      </c>
      <c r="B21" s="13" t="s">
        <v>12</v>
      </c>
    </row>
    <row r="22" spans="1:2" ht="26.35" customHeight="1" x14ac:dyDescent="0.5">
      <c r="A22" s="19" t="s">
        <v>104</v>
      </c>
      <c r="B22" s="13" t="s">
        <v>23</v>
      </c>
    </row>
    <row r="23" spans="1:2" ht="26.35" customHeight="1" x14ac:dyDescent="0.5">
      <c r="A23" s="19" t="s">
        <v>98</v>
      </c>
      <c r="B23" s="13" t="s">
        <v>39</v>
      </c>
    </row>
    <row r="24" spans="1:2" ht="26.35" customHeight="1" x14ac:dyDescent="0.5">
      <c r="A24" s="19" t="s">
        <v>99</v>
      </c>
      <c r="B24" s="13" t="s">
        <v>41</v>
      </c>
    </row>
    <row r="25" spans="1:2" ht="26.35" customHeight="1" x14ac:dyDescent="0.5">
      <c r="A25" s="19" t="s">
        <v>100</v>
      </c>
      <c r="B25" s="13" t="s">
        <v>50</v>
      </c>
    </row>
    <row r="26" spans="1:2" ht="26.35" customHeight="1" x14ac:dyDescent="0.5">
      <c r="A26" s="19" t="s">
        <v>101</v>
      </c>
      <c r="B26" s="13" t="s">
        <v>45</v>
      </c>
    </row>
    <row r="27" spans="1:2" ht="26.35" customHeight="1" x14ac:dyDescent="0.5">
      <c r="A27" s="19" t="s">
        <v>102</v>
      </c>
      <c r="B27" s="13" t="s">
        <v>28</v>
      </c>
    </row>
    <row r="28" spans="1:2" ht="26.35" customHeight="1" x14ac:dyDescent="0.5">
      <c r="A28" s="12" t="s">
        <v>18</v>
      </c>
      <c r="B28" s="11" t="s">
        <v>18</v>
      </c>
    </row>
    <row r="29" spans="1:2" ht="26.35" customHeight="1" x14ac:dyDescent="0.5">
      <c r="A29" s="12" t="s">
        <v>40</v>
      </c>
      <c r="B29" s="11" t="s">
        <v>40</v>
      </c>
    </row>
    <row r="30" spans="1:2" ht="26.35" customHeight="1" x14ac:dyDescent="0.5">
      <c r="A30" s="12" t="s">
        <v>103</v>
      </c>
      <c r="B30" s="11" t="s">
        <v>81</v>
      </c>
    </row>
    <row r="31" spans="1:2" ht="26.35" customHeight="1" x14ac:dyDescent="0.5">
      <c r="A31" s="12" t="s">
        <v>43</v>
      </c>
      <c r="B31" s="11" t="s">
        <v>43</v>
      </c>
    </row>
    <row r="32" spans="1:2" ht="26.35" customHeight="1" x14ac:dyDescent="0.5">
      <c r="A32" s="12" t="s">
        <v>30</v>
      </c>
      <c r="B32" s="11" t="s">
        <v>30</v>
      </c>
    </row>
    <row r="33" spans="1:2" ht="26.35" customHeight="1" x14ac:dyDescent="0.5">
      <c r="A33" s="12" t="s">
        <v>55</v>
      </c>
      <c r="B33" s="11" t="s">
        <v>55</v>
      </c>
    </row>
    <row r="34" spans="1:2" ht="26.35" customHeight="1" x14ac:dyDescent="0.5">
      <c r="A34" s="12" t="s">
        <v>11</v>
      </c>
      <c r="B34" s="11" t="s">
        <v>11</v>
      </c>
    </row>
    <row r="35" spans="1:2" ht="26.35" customHeight="1" x14ac:dyDescent="0.5">
      <c r="A35" s="12" t="s">
        <v>26</v>
      </c>
      <c r="B35" s="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B3CA-9C80-45D3-A301-D85313C2EE80}">
  <dimension ref="A1:F64"/>
  <sheetViews>
    <sheetView workbookViewId="0">
      <selection activeCell="C8" sqref="C8"/>
    </sheetView>
  </sheetViews>
  <sheetFormatPr defaultColWidth="22.6640625" defaultRowHeight="23.75" customHeight="1" x14ac:dyDescent="0.5"/>
  <cols>
    <col min="1" max="1" width="40.86328125" style="3" customWidth="1"/>
    <col min="2" max="2" width="10.265625" style="2" customWidth="1"/>
    <col min="3" max="5" width="22.6640625" style="4"/>
    <col min="6" max="16384" width="22.6640625" style="2"/>
  </cols>
  <sheetData>
    <row r="1" spans="1:6" ht="37.9" customHeight="1" x14ac:dyDescent="0.5">
      <c r="A1" s="20" t="s">
        <v>106</v>
      </c>
      <c r="B1" s="20" t="s">
        <v>108</v>
      </c>
      <c r="C1" s="21" t="s">
        <v>111</v>
      </c>
      <c r="D1" s="21" t="s">
        <v>109</v>
      </c>
      <c r="E1" s="21" t="s">
        <v>112</v>
      </c>
      <c r="F1" s="22" t="s">
        <v>107</v>
      </c>
    </row>
    <row r="2" spans="1:6" ht="23.75" customHeight="1" x14ac:dyDescent="0.5">
      <c r="A2" s="5" t="s">
        <v>0</v>
      </c>
      <c r="B2" s="6">
        <v>2025</v>
      </c>
      <c r="C2" s="7">
        <v>3536.83</v>
      </c>
      <c r="D2" s="7">
        <v>1914.49</v>
      </c>
      <c r="E2" s="7">
        <v>541</v>
      </c>
      <c r="F2" s="23" t="str">
        <f>VLOOKUP("*"&amp;TRIM(A2)&amp;"*", 'Sát nhập tỉnh'!A:B, 2, 0)</f>
        <v>An Giang</v>
      </c>
    </row>
    <row r="3" spans="1:6" ht="23.75" customHeight="1" x14ac:dyDescent="0.5">
      <c r="A3" s="5" t="s">
        <v>1</v>
      </c>
      <c r="B3" s="6">
        <v>2025</v>
      </c>
      <c r="C3" s="7">
        <v>1982.56</v>
      </c>
      <c r="D3" s="7">
        <v>1202.6400000000001</v>
      </c>
      <c r="E3" s="7">
        <v>607</v>
      </c>
      <c r="F3" s="23" t="str">
        <f>VLOOKUP("*"&amp;TRIM(A3)&amp;"*", 'Sát nhập tỉnh'!A:B, 2, 0)</f>
        <v>TP. Hồ Chí Minh</v>
      </c>
    </row>
    <row r="4" spans="1:6" ht="23.75" customHeight="1" x14ac:dyDescent="0.5">
      <c r="A4" s="5" t="s">
        <v>7</v>
      </c>
      <c r="B4" s="6">
        <v>2025</v>
      </c>
      <c r="C4" s="7">
        <v>3895.89</v>
      </c>
      <c r="D4" s="7">
        <v>1997.92</v>
      </c>
      <c r="E4" s="7">
        <v>513</v>
      </c>
      <c r="F4" s="23" t="str">
        <f>VLOOKUP("*"&amp;TRIM(A4)&amp;"*", 'Sát nhập tỉnh'!A:B, 2, 0)</f>
        <v>Bắc Ninh</v>
      </c>
    </row>
    <row r="5" spans="1:6" ht="23.75" customHeight="1" x14ac:dyDescent="0.5">
      <c r="A5" s="5" t="s">
        <v>8</v>
      </c>
      <c r="B5" s="6">
        <v>2025</v>
      </c>
      <c r="C5" s="7">
        <v>4853.25</v>
      </c>
      <c r="D5" s="7">
        <v>331.5</v>
      </c>
      <c r="E5" s="7">
        <v>68</v>
      </c>
      <c r="F5" s="23" t="str">
        <f>VLOOKUP("*"&amp;TRIM(A5)&amp;"*", 'Sát nhập tỉnh'!A:B, 2, 0)</f>
        <v>Thái Nguyên</v>
      </c>
    </row>
    <row r="6" spans="1:6" ht="23.75" customHeight="1" x14ac:dyDescent="0.5">
      <c r="A6" s="5" t="s">
        <v>6</v>
      </c>
      <c r="B6" s="6">
        <v>2025</v>
      </c>
      <c r="C6" s="7">
        <v>2667.88</v>
      </c>
      <c r="D6" s="7">
        <v>932.41</v>
      </c>
      <c r="E6" s="7">
        <v>349</v>
      </c>
      <c r="F6" s="23" t="str">
        <f>VLOOKUP("*"&amp;TRIM(A6)&amp;"*", 'Sát nhập tỉnh'!A:B, 2, 0)</f>
        <v>Cà Mau</v>
      </c>
    </row>
    <row r="7" spans="1:6" ht="23.75" customHeight="1" x14ac:dyDescent="0.5">
      <c r="A7" s="5" t="s">
        <v>9</v>
      </c>
      <c r="B7" s="6">
        <v>2025</v>
      </c>
      <c r="C7" s="7">
        <v>822.71</v>
      </c>
      <c r="D7" s="7">
        <v>1574.43</v>
      </c>
      <c r="E7" s="7">
        <v>1914</v>
      </c>
      <c r="F7" s="23" t="str">
        <f>VLOOKUP("*"&amp;TRIM(A7)&amp;"*", 'Sát nhập tỉnh'!A:B, 2, 0)</f>
        <v>Bắc Ninh</v>
      </c>
    </row>
    <row r="8" spans="1:6" ht="23.75" customHeight="1" x14ac:dyDescent="0.5">
      <c r="A8" s="5" t="s">
        <v>10</v>
      </c>
      <c r="B8" s="6">
        <v>2025</v>
      </c>
      <c r="C8" s="7">
        <v>2379.6999999999998</v>
      </c>
      <c r="D8" s="7">
        <v>1310.19</v>
      </c>
      <c r="E8" s="7">
        <v>551</v>
      </c>
      <c r="F8" s="23" t="str">
        <f>VLOOKUP("*"&amp;TRIM(A8)&amp;"*", 'Sát nhập tỉnh'!A:B, 2, 0)</f>
        <v>Vĩnh Long</v>
      </c>
    </row>
    <row r="9" spans="1:6" ht="23.75" customHeight="1" x14ac:dyDescent="0.5">
      <c r="A9" s="5" t="s">
        <v>5</v>
      </c>
      <c r="B9" s="6">
        <v>2025</v>
      </c>
      <c r="C9" s="7">
        <v>6066.4</v>
      </c>
      <c r="D9" s="7">
        <v>1527.77</v>
      </c>
      <c r="E9" s="7">
        <v>252</v>
      </c>
      <c r="F9" s="23" t="str">
        <f>VLOOKUP("*"&amp;TRIM(A9)&amp;"*", 'Sát nhập tỉnh'!A:B, 2, 0)</f>
        <v>Gia Lai</v>
      </c>
    </row>
    <row r="10" spans="1:6" ht="23.75" customHeight="1" x14ac:dyDescent="0.5">
      <c r="A10" s="5" t="s">
        <v>2</v>
      </c>
      <c r="B10" s="6">
        <v>2025</v>
      </c>
      <c r="C10" s="7">
        <v>2694.64</v>
      </c>
      <c r="D10" s="7">
        <v>2910.32</v>
      </c>
      <c r="E10" s="7">
        <v>1080</v>
      </c>
      <c r="F10" s="23" t="str">
        <f>VLOOKUP("*"&amp;TRIM(A10)&amp;"*", 'Sát nhập tỉnh'!A:B, 2, 0)</f>
        <v>TP. Hồ Chí Minh</v>
      </c>
    </row>
    <row r="11" spans="1:6" ht="23.75" customHeight="1" x14ac:dyDescent="0.5">
      <c r="A11" s="5" t="s">
        <v>3</v>
      </c>
      <c r="B11" s="6">
        <v>2025</v>
      </c>
      <c r="C11" s="7">
        <v>6873.56</v>
      </c>
      <c r="D11" s="7">
        <v>1077.73</v>
      </c>
      <c r="E11" s="7">
        <v>157</v>
      </c>
      <c r="F11" s="23" t="str">
        <f>VLOOKUP("*"&amp;TRIM(A11)&amp;"*", 'Sát nhập tỉnh'!A:B, 2, 0)</f>
        <v>Đồng Nai</v>
      </c>
    </row>
    <row r="12" spans="1:6" ht="23.75" customHeight="1" x14ac:dyDescent="0.5">
      <c r="A12" s="5" t="s">
        <v>4</v>
      </c>
      <c r="B12" s="6">
        <v>2025</v>
      </c>
      <c r="C12" s="7">
        <v>7942.6</v>
      </c>
      <c r="D12" s="7">
        <v>1274.31</v>
      </c>
      <c r="E12" s="7">
        <v>160</v>
      </c>
      <c r="F12" s="23" t="str">
        <f>VLOOKUP("*"&amp;TRIM(A12)&amp;"*", 'Sát nhập tỉnh'!A:B, 2, 0)</f>
        <v>Lâm Đồng</v>
      </c>
    </row>
    <row r="13" spans="1:6" ht="23.75" customHeight="1" x14ac:dyDescent="0.5">
      <c r="A13" s="5" t="s">
        <v>12</v>
      </c>
      <c r="B13" s="6">
        <v>2025</v>
      </c>
      <c r="C13" s="7">
        <v>5274.51</v>
      </c>
      <c r="D13" s="7">
        <v>1218.03</v>
      </c>
      <c r="E13" s="7">
        <v>231</v>
      </c>
      <c r="F13" s="23" t="str">
        <f>VLOOKUP("*"&amp;TRIM(A13)&amp;"*", 'Sát nhập tỉnh'!A:B, 2, 0)</f>
        <v>Cà Mau</v>
      </c>
    </row>
    <row r="14" spans="1:6" ht="23.75" customHeight="1" x14ac:dyDescent="0.5">
      <c r="A14" s="5" t="s">
        <v>13</v>
      </c>
      <c r="B14" s="6">
        <v>2025</v>
      </c>
      <c r="C14" s="7">
        <v>1440.4</v>
      </c>
      <c r="D14" s="7">
        <v>1285.71</v>
      </c>
      <c r="E14" s="7">
        <v>893</v>
      </c>
      <c r="F14" s="23" t="str">
        <f>VLOOKUP("*"&amp;TRIM(A14)&amp;"*", 'Sát nhập tỉnh'!A:B, 2, 0)</f>
        <v>TP. Cần Thơ</v>
      </c>
    </row>
    <row r="15" spans="1:6" ht="23.75" customHeight="1" x14ac:dyDescent="0.5">
      <c r="A15" s="5" t="s">
        <v>11</v>
      </c>
      <c r="B15" s="6">
        <v>2025</v>
      </c>
      <c r="C15" s="7">
        <v>6700.39</v>
      </c>
      <c r="D15" s="7">
        <v>562.92999999999995</v>
      </c>
      <c r="E15" s="7">
        <v>84</v>
      </c>
      <c r="F15" s="23" t="str">
        <f>VLOOKUP("*"&amp;TRIM(A15)&amp;"*", 'Sát nhập tỉnh'!A:B, 2, 0)</f>
        <v>Cao Bằng</v>
      </c>
    </row>
    <row r="16" spans="1:6" ht="23.75" customHeight="1" x14ac:dyDescent="0.5">
      <c r="A16" s="5" t="s">
        <v>56</v>
      </c>
      <c r="B16" s="6">
        <v>2025</v>
      </c>
      <c r="C16" s="7">
        <v>1284.73</v>
      </c>
      <c r="D16" s="7">
        <v>1304.72</v>
      </c>
      <c r="E16" s="7">
        <v>1016</v>
      </c>
      <c r="F16" s="23" t="str">
        <f>VLOOKUP("*"&amp;TRIM(A16)&amp;"*", 'Sát nhập tỉnh'!A:B, 2, 0)</f>
        <v>TP. Đà Nẵng</v>
      </c>
    </row>
    <row r="17" spans="1:6" ht="23.75" customHeight="1" x14ac:dyDescent="0.5">
      <c r="A17" s="5" t="s">
        <v>57</v>
      </c>
      <c r="B17" s="6">
        <v>2025</v>
      </c>
      <c r="C17" s="7">
        <v>13070.41</v>
      </c>
      <c r="D17" s="7">
        <v>1961.46</v>
      </c>
      <c r="E17" s="7">
        <v>150</v>
      </c>
      <c r="F17" s="23" t="str">
        <f>VLOOKUP("*"&amp;TRIM(A17)&amp;"*", 'Sát nhập tỉnh'!A:B, 2, 0)</f>
        <v>Đắk Lắk</v>
      </c>
    </row>
    <row r="18" spans="1:6" ht="23.75" customHeight="1" x14ac:dyDescent="0.5">
      <c r="A18" s="5" t="s">
        <v>58</v>
      </c>
      <c r="B18" s="6">
        <v>2025</v>
      </c>
      <c r="C18" s="7">
        <v>6509.27</v>
      </c>
      <c r="D18" s="7">
        <v>704.69</v>
      </c>
      <c r="E18" s="7">
        <v>108</v>
      </c>
      <c r="F18" s="23" t="str">
        <f>VLOOKUP("*"&amp;TRIM(A18)&amp;"*", 'Sát nhập tỉnh'!A:B, 2, 0)</f>
        <v>Lâm Đồng</v>
      </c>
    </row>
    <row r="19" spans="1:6" ht="23.75" customHeight="1" x14ac:dyDescent="0.5">
      <c r="A19" s="5" t="s">
        <v>55</v>
      </c>
      <c r="B19" s="6">
        <v>2025</v>
      </c>
      <c r="C19" s="7">
        <v>9539.93</v>
      </c>
      <c r="D19" s="7">
        <v>667.42</v>
      </c>
      <c r="E19" s="7">
        <v>70</v>
      </c>
      <c r="F19" s="23" t="str">
        <f>VLOOKUP("*"&amp;TRIM(A19)&amp;"*", 'Sát nhập tỉnh'!A:B, 2, 0)</f>
        <v>Điện Biên</v>
      </c>
    </row>
    <row r="20" spans="1:6" ht="23.75" customHeight="1" x14ac:dyDescent="0.5">
      <c r="A20" s="5" t="s">
        <v>59</v>
      </c>
      <c r="B20" s="6">
        <v>2025</v>
      </c>
      <c r="C20" s="7">
        <v>5863.62</v>
      </c>
      <c r="D20" s="7">
        <v>3415.96</v>
      </c>
      <c r="E20" s="7">
        <v>583</v>
      </c>
      <c r="F20" s="23" t="str">
        <f>VLOOKUP("*"&amp;TRIM(A20)&amp;"*", 'Sát nhập tỉnh'!A:B, 2, 0)</f>
        <v>Đồng Nai</v>
      </c>
    </row>
    <row r="21" spans="1:6" ht="23.75" customHeight="1" x14ac:dyDescent="0.5">
      <c r="A21" s="5" t="s">
        <v>60</v>
      </c>
      <c r="B21" s="6">
        <v>2025</v>
      </c>
      <c r="C21" s="7">
        <v>3382.28</v>
      </c>
      <c r="D21" s="7">
        <v>1602.32</v>
      </c>
      <c r="E21" s="7">
        <v>474</v>
      </c>
      <c r="F21" s="23" t="str">
        <f>VLOOKUP("*"&amp;TRIM(A21)&amp;"*", 'Sát nhập tỉnh'!A:B, 2, 0)</f>
        <v>Đồng Tháp</v>
      </c>
    </row>
    <row r="22" spans="1:6" ht="23.75" customHeight="1" x14ac:dyDescent="0.5">
      <c r="A22" s="5" t="s">
        <v>14</v>
      </c>
      <c r="B22" s="6">
        <v>2025</v>
      </c>
      <c r="C22" s="7">
        <v>15510.13</v>
      </c>
      <c r="D22" s="7">
        <v>1654.88</v>
      </c>
      <c r="E22" s="7">
        <v>107</v>
      </c>
      <c r="F22" s="23" t="str">
        <f>VLOOKUP("*"&amp;TRIM(A22)&amp;"*", 'Sát nhập tỉnh'!A:B, 2, 0)</f>
        <v>Gia Lai</v>
      </c>
    </row>
    <row r="23" spans="1:6" ht="23.75" customHeight="1" x14ac:dyDescent="0.5">
      <c r="A23" s="5" t="s">
        <v>15</v>
      </c>
      <c r="B23" s="6">
        <v>2025</v>
      </c>
      <c r="C23" s="7">
        <v>7927.55</v>
      </c>
      <c r="D23" s="7">
        <v>921.38</v>
      </c>
      <c r="E23" s="7">
        <v>116</v>
      </c>
      <c r="F23" s="23" t="str">
        <f>VLOOKUP("*"&amp;TRIM(A23)&amp;"*", 'Sát nhập tỉnh'!A:B, 2, 0)</f>
        <v>Tuyên Quang</v>
      </c>
    </row>
    <row r="24" spans="1:6" ht="23.75" customHeight="1" x14ac:dyDescent="0.5">
      <c r="A24" s="5" t="s">
        <v>16</v>
      </c>
      <c r="B24" s="6">
        <v>2025</v>
      </c>
      <c r="C24" s="7">
        <v>861.93</v>
      </c>
      <c r="D24" s="7">
        <v>903.16</v>
      </c>
      <c r="E24" s="7">
        <v>1048</v>
      </c>
      <c r="F24" s="23" t="str">
        <f>VLOOKUP("*"&amp;TRIM(A24)&amp;"*", 'Sát nhập tỉnh'!A:B, 2, 0)</f>
        <v>Ninh Bình</v>
      </c>
    </row>
    <row r="25" spans="1:6" ht="23.75" customHeight="1" x14ac:dyDescent="0.5">
      <c r="A25" s="5" t="s">
        <v>17</v>
      </c>
      <c r="B25" s="6">
        <v>2025</v>
      </c>
      <c r="C25" s="7">
        <v>3359.84</v>
      </c>
      <c r="D25" s="7">
        <v>8857.5300000000007</v>
      </c>
      <c r="E25" s="7">
        <v>2636</v>
      </c>
      <c r="F25" s="23" t="str">
        <f>VLOOKUP("*"&amp;TRIM(A25)&amp;"*", 'Sát nhập tỉnh'!A:B, 2, 0)</f>
        <v>TP. Hà Nội</v>
      </c>
    </row>
    <row r="26" spans="1:6" ht="23.75" customHeight="1" x14ac:dyDescent="0.5">
      <c r="A26" s="5" t="s">
        <v>18</v>
      </c>
      <c r="B26" s="6">
        <v>2025</v>
      </c>
      <c r="C26" s="7">
        <v>5994.45</v>
      </c>
      <c r="D26" s="7">
        <v>1335.14</v>
      </c>
      <c r="E26" s="7">
        <v>223</v>
      </c>
      <c r="F26" s="23" t="str">
        <f>VLOOKUP("*"&amp;TRIM(A26)&amp;"*", 'Sát nhập tỉnh'!A:B, 2, 0)</f>
        <v>Hà Tĩnh</v>
      </c>
    </row>
    <row r="27" spans="1:6" ht="23.75" customHeight="1" x14ac:dyDescent="0.5">
      <c r="A27" s="5" t="s">
        <v>20</v>
      </c>
      <c r="B27" s="6">
        <v>2025</v>
      </c>
      <c r="C27" s="7">
        <v>1668.28</v>
      </c>
      <c r="D27" s="7">
        <v>1997.71</v>
      </c>
      <c r="E27" s="7">
        <v>1197</v>
      </c>
      <c r="F27" s="23" t="str">
        <f>VLOOKUP("*"&amp;TRIM(A27)&amp;"*", 'Sát nhập tỉnh'!A:B, 2, 0)</f>
        <v>TP. Hải Phòng</v>
      </c>
    </row>
    <row r="28" spans="1:6" ht="23.75" customHeight="1" x14ac:dyDescent="0.5">
      <c r="A28" s="5" t="s">
        <v>21</v>
      </c>
      <c r="B28" s="6">
        <v>2025</v>
      </c>
      <c r="C28" s="7">
        <v>1526.44</v>
      </c>
      <c r="D28" s="7">
        <v>2152.17</v>
      </c>
      <c r="E28" s="7">
        <v>1410</v>
      </c>
      <c r="F28" s="23" t="str">
        <f>VLOOKUP("*"&amp;TRIM(A28)&amp;"*", 'Sát nhập tỉnh'!A:B, 2, 0)</f>
        <v>TP. Hải Phòng</v>
      </c>
    </row>
    <row r="29" spans="1:6" ht="23.75" customHeight="1" x14ac:dyDescent="0.5">
      <c r="A29" s="5" t="s">
        <v>22</v>
      </c>
      <c r="B29" s="6">
        <v>2025</v>
      </c>
      <c r="C29" s="7">
        <v>1622.23</v>
      </c>
      <c r="D29" s="7">
        <v>712.59</v>
      </c>
      <c r="E29" s="7">
        <v>439</v>
      </c>
      <c r="F29" s="23" t="str">
        <f>VLOOKUP("*"&amp;TRIM(A29)&amp;"*", 'Sát nhập tỉnh'!A:B, 2, 0)</f>
        <v>TP. Cần Thơ</v>
      </c>
    </row>
    <row r="30" spans="1:6" ht="23.75" customHeight="1" x14ac:dyDescent="0.5">
      <c r="A30" s="5" t="s">
        <v>61</v>
      </c>
      <c r="B30" s="6">
        <v>2025</v>
      </c>
      <c r="C30" s="7">
        <v>4590.82</v>
      </c>
      <c r="D30" s="7">
        <v>903.45</v>
      </c>
      <c r="E30" s="7">
        <v>197</v>
      </c>
      <c r="F30" s="23" t="str">
        <f>VLOOKUP("*"&amp;TRIM(A30)&amp;"*", 'Sát nhập tỉnh'!A:B, 2, 0)</f>
        <v>Phú Thọ</v>
      </c>
    </row>
    <row r="31" spans="1:6" ht="23.75" customHeight="1" x14ac:dyDescent="0.5">
      <c r="A31" s="5" t="s">
        <v>19</v>
      </c>
      <c r="B31" s="6">
        <v>2025</v>
      </c>
      <c r="C31" s="7">
        <v>930.2</v>
      </c>
      <c r="D31" s="7">
        <v>1333.42</v>
      </c>
      <c r="E31" s="7">
        <v>1433</v>
      </c>
      <c r="F31" s="23" t="str">
        <f>VLOOKUP("*"&amp;TRIM(A31)&amp;"*", 'Sát nhập tỉnh'!A:B, 2, 0)</f>
        <v>Hưng Yên</v>
      </c>
    </row>
    <row r="32" spans="1:6" ht="23.75" customHeight="1" x14ac:dyDescent="0.5">
      <c r="A32" s="5" t="s">
        <v>23</v>
      </c>
      <c r="B32" s="6">
        <v>2025</v>
      </c>
      <c r="C32" s="7">
        <v>5200.1099999999997</v>
      </c>
      <c r="D32" s="7">
        <v>1279.1199999999999</v>
      </c>
      <c r="E32" s="7">
        <v>246</v>
      </c>
      <c r="F32" s="23" t="str">
        <f>VLOOKUP("*"&amp;TRIM(A32)&amp;"*", 'Sát nhập tỉnh'!A:B, 2, 0)</f>
        <v>Khánh Hoà</v>
      </c>
    </row>
    <row r="33" spans="1:6" ht="23.75" customHeight="1" x14ac:dyDescent="0.5">
      <c r="A33" s="5" t="s">
        <v>24</v>
      </c>
      <c r="B33" s="6">
        <v>2025</v>
      </c>
      <c r="C33" s="7">
        <v>6352.08</v>
      </c>
      <c r="D33" s="7">
        <v>1780.1</v>
      </c>
      <c r="E33" s="7">
        <v>280</v>
      </c>
      <c r="F33" s="23" t="str">
        <f>VLOOKUP("*"&amp;TRIM(A33)&amp;"*", 'Sát nhập tỉnh'!A:B, 2, 0)</f>
        <v>An Giang</v>
      </c>
    </row>
    <row r="34" spans="1:6" ht="23.75" customHeight="1" x14ac:dyDescent="0.5">
      <c r="A34" s="5" t="s">
        <v>25</v>
      </c>
      <c r="B34" s="6">
        <v>2025</v>
      </c>
      <c r="C34" s="7">
        <v>9677.2999999999993</v>
      </c>
      <c r="D34" s="7">
        <v>612.52</v>
      </c>
      <c r="E34" s="7">
        <v>63</v>
      </c>
      <c r="F34" s="23" t="str">
        <f>VLOOKUP("*"&amp;TRIM(A34)&amp;"*", 'Sát nhập tỉnh'!A:B, 2, 0)</f>
        <v>Quảng Ngãi</v>
      </c>
    </row>
    <row r="35" spans="1:6" ht="23.75" customHeight="1" x14ac:dyDescent="0.5">
      <c r="A35" s="5" t="s">
        <v>26</v>
      </c>
      <c r="B35" s="6">
        <v>2025</v>
      </c>
      <c r="C35" s="7">
        <v>9068.73</v>
      </c>
      <c r="D35" s="7">
        <v>501.16</v>
      </c>
      <c r="E35" s="7">
        <v>55</v>
      </c>
      <c r="F35" s="23" t="str">
        <f>VLOOKUP("*"&amp;TRIM(A35)&amp;"*", 'Sát nhập tỉnh'!A:B, 2, 0)</f>
        <v>Lai Châu</v>
      </c>
    </row>
    <row r="36" spans="1:6" ht="23.75" customHeight="1" x14ac:dyDescent="0.5">
      <c r="A36" s="5" t="s">
        <v>29</v>
      </c>
      <c r="B36" s="6">
        <v>2025</v>
      </c>
      <c r="C36" s="7">
        <v>9781.2000000000007</v>
      </c>
      <c r="D36" s="7">
        <v>1377.38</v>
      </c>
      <c r="E36" s="7">
        <v>141</v>
      </c>
      <c r="F36" s="23" t="str">
        <f>VLOOKUP("*"&amp;TRIM(A36)&amp;"*", 'Sát nhập tỉnh'!A:B, 2, 0)</f>
        <v>Lâm Đồng</v>
      </c>
    </row>
    <row r="37" spans="1:6" ht="23.75" customHeight="1" x14ac:dyDescent="0.5">
      <c r="A37" s="5" t="s">
        <v>30</v>
      </c>
      <c r="B37" s="6">
        <v>2025</v>
      </c>
      <c r="C37" s="7">
        <v>8310.18</v>
      </c>
      <c r="D37" s="7">
        <v>820.63</v>
      </c>
      <c r="E37" s="7">
        <v>99</v>
      </c>
      <c r="F37" s="23" t="str">
        <f>VLOOKUP("*"&amp;TRIM(A37)&amp;"*", 'Sát nhập tỉnh'!A:B, 2, 0)</f>
        <v>Lạng Sơn</v>
      </c>
    </row>
    <row r="38" spans="1:6" ht="23.75" customHeight="1" x14ac:dyDescent="0.5">
      <c r="A38" s="5" t="s">
        <v>28</v>
      </c>
      <c r="B38" s="6">
        <v>2025</v>
      </c>
      <c r="C38" s="7">
        <v>6364.25</v>
      </c>
      <c r="D38" s="7">
        <v>801.48</v>
      </c>
      <c r="E38" s="7">
        <v>126</v>
      </c>
      <c r="F38" s="23" t="str">
        <f>VLOOKUP("*"&amp;TRIM(A38)&amp;"*", 'Sát nhập tỉnh'!A:B, 2, 0)</f>
        <v>Lào Cai</v>
      </c>
    </row>
    <row r="39" spans="1:6" ht="23.75" customHeight="1" x14ac:dyDescent="0.5">
      <c r="A39" s="5" t="s">
        <v>27</v>
      </c>
      <c r="B39" s="6">
        <v>2025</v>
      </c>
      <c r="C39" s="7">
        <v>4494.79</v>
      </c>
      <c r="D39" s="7">
        <v>1769.28</v>
      </c>
      <c r="E39" s="7">
        <v>394</v>
      </c>
      <c r="F39" s="23" t="str">
        <f>VLOOKUP("*"&amp;TRIM(A39)&amp;"*", 'Sát nhập tỉnh'!A:B, 2, 0)</f>
        <v>Tây Ninh</v>
      </c>
    </row>
    <row r="40" spans="1:6" ht="23.75" customHeight="1" x14ac:dyDescent="0.5">
      <c r="A40" s="5" t="s">
        <v>31</v>
      </c>
      <c r="B40" s="6">
        <v>2025</v>
      </c>
      <c r="C40" s="7">
        <v>1668.83</v>
      </c>
      <c r="D40" s="7">
        <v>1897.99</v>
      </c>
      <c r="E40" s="7">
        <v>1137</v>
      </c>
      <c r="F40" s="23" t="str">
        <f>VLOOKUP("*"&amp;TRIM(A40)&amp;"*", 'Sát nhập tỉnh'!A:B, 2, 0)</f>
        <v>Ninh Bình</v>
      </c>
    </row>
    <row r="41" spans="1:6" ht="23.75" customHeight="1" x14ac:dyDescent="0.5">
      <c r="A41" s="5" t="s">
        <v>32</v>
      </c>
      <c r="B41" s="6">
        <v>2025</v>
      </c>
      <c r="C41" s="7">
        <v>16486.5</v>
      </c>
      <c r="D41" s="7">
        <v>3497.75</v>
      </c>
      <c r="E41" s="7">
        <v>212</v>
      </c>
      <c r="F41" s="23" t="str">
        <f>VLOOKUP("*"&amp;TRIM(A41)&amp;"*", 'Sát nhập tỉnh'!A:B, 2, 0)</f>
        <v>Nghệ An</v>
      </c>
    </row>
    <row r="42" spans="1:6" ht="23.75" customHeight="1" x14ac:dyDescent="0.5">
      <c r="A42" s="5" t="s">
        <v>33</v>
      </c>
      <c r="B42" s="6">
        <v>2025</v>
      </c>
      <c r="C42" s="7">
        <v>1411.86</v>
      </c>
      <c r="D42" s="7">
        <v>1042.6199999999999</v>
      </c>
      <c r="E42" s="7">
        <v>738</v>
      </c>
      <c r="F42" s="23" t="str">
        <f>VLOOKUP("*"&amp;TRIM(A42)&amp;"*", 'Sát nhập tỉnh'!A:B, 2, 0)</f>
        <v>Ninh Bình</v>
      </c>
    </row>
    <row r="43" spans="1:6" ht="23.75" customHeight="1" x14ac:dyDescent="0.5">
      <c r="A43" s="5" t="s">
        <v>34</v>
      </c>
      <c r="B43" s="6">
        <v>2025</v>
      </c>
      <c r="C43" s="7">
        <v>3355.75</v>
      </c>
      <c r="D43" s="7">
        <v>619.42999999999995</v>
      </c>
      <c r="E43" s="7">
        <v>185</v>
      </c>
      <c r="F43" s="23" t="str">
        <f>VLOOKUP("*"&amp;TRIM(A43)&amp;"*", 'Sát nhập tỉnh'!A:B, 2, 0)</f>
        <v>Khánh Hoà</v>
      </c>
    </row>
    <row r="44" spans="1:6" ht="23.75" customHeight="1" x14ac:dyDescent="0.5">
      <c r="A44" s="5" t="s">
        <v>35</v>
      </c>
      <c r="B44" s="6">
        <v>2025</v>
      </c>
      <c r="C44" s="7">
        <v>3534.56</v>
      </c>
      <c r="D44" s="7">
        <v>1559.32</v>
      </c>
      <c r="E44" s="7">
        <v>441</v>
      </c>
      <c r="F44" s="23" t="str">
        <f>VLOOKUP("*"&amp;TRIM(A44)&amp;"*", 'Sát nhập tỉnh'!A:B, 2, 0)</f>
        <v>Phú Thọ</v>
      </c>
    </row>
    <row r="45" spans="1:6" ht="23.75" customHeight="1" x14ac:dyDescent="0.5">
      <c r="A45" s="5" t="s">
        <v>36</v>
      </c>
      <c r="B45" s="6">
        <v>2025</v>
      </c>
      <c r="C45" s="7">
        <v>5025.99</v>
      </c>
      <c r="D45" s="7">
        <v>887.74</v>
      </c>
      <c r="E45" s="7">
        <v>177</v>
      </c>
      <c r="F45" s="23" t="str">
        <f>VLOOKUP("*"&amp;TRIM(A45)&amp;"*", 'Sát nhập tỉnh'!A:B, 2, 0)</f>
        <v>Đắk Lắk</v>
      </c>
    </row>
    <row r="46" spans="1:6" ht="23.75" customHeight="1" x14ac:dyDescent="0.5">
      <c r="A46" s="5" t="s">
        <v>37</v>
      </c>
      <c r="B46" s="6">
        <v>2025</v>
      </c>
      <c r="C46" s="7">
        <v>7998.76</v>
      </c>
      <c r="D46" s="7">
        <v>931.92</v>
      </c>
      <c r="E46" s="7">
        <v>117</v>
      </c>
      <c r="F46" s="23" t="str">
        <f>VLOOKUP("*"&amp;TRIM(A46)&amp;"*", 'Sát nhập tỉnh'!A:B, 2, 0)</f>
        <v>Quảng Trị</v>
      </c>
    </row>
    <row r="47" spans="1:6" ht="23.75" customHeight="1" x14ac:dyDescent="0.5">
      <c r="A47" s="5" t="s">
        <v>38</v>
      </c>
      <c r="B47" s="6">
        <v>2025</v>
      </c>
      <c r="C47" s="7">
        <v>10574.86</v>
      </c>
      <c r="D47" s="7">
        <v>1551.66</v>
      </c>
      <c r="E47" s="7">
        <v>147</v>
      </c>
      <c r="F47" s="23" t="str">
        <f>VLOOKUP("*"&amp;TRIM(A47)&amp;"*", 'Sát nhập tỉnh'!A:B, 2, 0)</f>
        <v>TP. Đà Nẵng</v>
      </c>
    </row>
    <row r="48" spans="1:6" ht="23.75" customHeight="1" x14ac:dyDescent="0.5">
      <c r="A48" s="5" t="s">
        <v>39</v>
      </c>
      <c r="B48" s="6">
        <v>2025</v>
      </c>
      <c r="C48" s="7">
        <v>5155.25</v>
      </c>
      <c r="D48" s="7">
        <v>1268.72</v>
      </c>
      <c r="E48" s="7">
        <v>246</v>
      </c>
      <c r="F48" s="23" t="str">
        <f>VLOOKUP("*"&amp;TRIM(A48)&amp;"*", 'Sát nhập tỉnh'!A:B, 2, 0)</f>
        <v>Quảng Ngãi</v>
      </c>
    </row>
    <row r="49" spans="1:6" ht="23.75" customHeight="1" x14ac:dyDescent="0.5">
      <c r="A49" s="5" t="s">
        <v>40</v>
      </c>
      <c r="B49" s="6">
        <v>2025</v>
      </c>
      <c r="C49" s="7">
        <v>6207.95</v>
      </c>
      <c r="D49" s="7">
        <v>1411.58</v>
      </c>
      <c r="E49" s="7">
        <v>227</v>
      </c>
      <c r="F49" s="23" t="str">
        <f>VLOOKUP("*"&amp;TRIM(A49)&amp;"*", 'Sát nhập tỉnh'!A:B, 2, 0)</f>
        <v>Quảng Ninh</v>
      </c>
    </row>
    <row r="50" spans="1:6" ht="23.75" customHeight="1" x14ac:dyDescent="0.5">
      <c r="A50" s="5" t="s">
        <v>41</v>
      </c>
      <c r="B50" s="6">
        <v>2025</v>
      </c>
      <c r="C50" s="7">
        <v>4701.2299999999996</v>
      </c>
      <c r="D50" s="7">
        <v>662.21</v>
      </c>
      <c r="E50" s="7">
        <v>141</v>
      </c>
      <c r="F50" s="23" t="str">
        <f>VLOOKUP("*"&amp;TRIM(A50)&amp;"*", 'Sát nhập tỉnh'!A:B, 2, 0)</f>
        <v>Quảng Trị</v>
      </c>
    </row>
    <row r="51" spans="1:6" ht="23.75" customHeight="1" x14ac:dyDescent="0.5">
      <c r="A51" s="5" t="s">
        <v>42</v>
      </c>
      <c r="B51" s="6">
        <v>2025</v>
      </c>
      <c r="C51" s="7">
        <v>3298.2</v>
      </c>
      <c r="D51" s="7">
        <v>1226.6400000000001</v>
      </c>
      <c r="E51" s="7">
        <v>372</v>
      </c>
      <c r="F51" s="23" t="str">
        <f>VLOOKUP("*"&amp;TRIM(A51)&amp;"*", 'Sát nhập tỉnh'!A:B, 2, 0)</f>
        <v>TP. Cần Thơ</v>
      </c>
    </row>
    <row r="52" spans="1:6" ht="23.75" customHeight="1" x14ac:dyDescent="0.5">
      <c r="A52" s="5" t="s">
        <v>43</v>
      </c>
      <c r="B52" s="6">
        <v>2025</v>
      </c>
      <c r="C52" s="7">
        <v>14108.89</v>
      </c>
      <c r="D52" s="7">
        <v>1341.22</v>
      </c>
      <c r="E52" s="7">
        <v>95</v>
      </c>
      <c r="F52" s="23" t="str">
        <f>VLOOKUP("*"&amp;TRIM(A52)&amp;"*", 'Sát nhập tỉnh'!A:B, 2, 0)</f>
        <v>Sơn La</v>
      </c>
    </row>
    <row r="53" spans="1:6" ht="23.75" customHeight="1" x14ac:dyDescent="0.5">
      <c r="A53" s="5" t="s">
        <v>51</v>
      </c>
      <c r="B53" s="6">
        <v>2025</v>
      </c>
      <c r="C53" s="7">
        <v>4041.65</v>
      </c>
      <c r="D53" s="7">
        <v>1211.01</v>
      </c>
      <c r="E53" s="7">
        <v>300</v>
      </c>
      <c r="F53" s="23" t="str">
        <f>VLOOKUP("*"&amp;TRIM(A53)&amp;"*", 'Sát nhập tỉnh'!A:B, 2, 0)</f>
        <v>Tây Ninh</v>
      </c>
    </row>
    <row r="54" spans="1:6" ht="23.75" customHeight="1" x14ac:dyDescent="0.5">
      <c r="A54" s="5" t="s">
        <v>44</v>
      </c>
      <c r="B54" s="6">
        <v>2025</v>
      </c>
      <c r="C54" s="7">
        <v>1584.61</v>
      </c>
      <c r="D54" s="7">
        <v>1901.75</v>
      </c>
      <c r="E54" s="7">
        <v>1200</v>
      </c>
      <c r="F54" s="23" t="str">
        <f>VLOOKUP("*"&amp;TRIM(A54)&amp;"*", 'Sát nhập tỉnh'!A:B, 2, 0)</f>
        <v>Hưng Yên</v>
      </c>
    </row>
    <row r="55" spans="1:6" ht="23.75" customHeight="1" x14ac:dyDescent="0.5">
      <c r="A55" s="5" t="s">
        <v>45</v>
      </c>
      <c r="B55" s="6">
        <v>2025</v>
      </c>
      <c r="C55" s="7">
        <v>3521.96</v>
      </c>
      <c r="D55" s="7">
        <v>1380.08</v>
      </c>
      <c r="E55" s="7">
        <v>392</v>
      </c>
      <c r="F55" s="23" t="str">
        <f>VLOOKUP("*"&amp;TRIM(A55)&amp;"*", 'Sát nhập tỉnh'!A:B, 2, 0)</f>
        <v>Thái Nguyên</v>
      </c>
    </row>
    <row r="56" spans="1:6" ht="23.75" customHeight="1" x14ac:dyDescent="0.5">
      <c r="A56" s="5" t="s">
        <v>62</v>
      </c>
      <c r="B56" s="6">
        <v>2025</v>
      </c>
      <c r="C56" s="7">
        <v>11114.71</v>
      </c>
      <c r="D56" s="7">
        <v>3771.77</v>
      </c>
      <c r="E56" s="7">
        <v>339</v>
      </c>
      <c r="F56" s="23" t="str">
        <f>VLOOKUP("*"&amp;TRIM(A56)&amp;"*", 'Sát nhập tỉnh'!A:B, 2, 0)</f>
        <v>Thanh Hóa</v>
      </c>
    </row>
    <row r="57" spans="1:6" ht="23.75" customHeight="1" x14ac:dyDescent="0.5">
      <c r="A57" s="5" t="s">
        <v>46</v>
      </c>
      <c r="B57" s="6">
        <v>2025</v>
      </c>
      <c r="C57" s="7">
        <v>4947.1099999999997</v>
      </c>
      <c r="D57" s="7">
        <v>1190.3399999999999</v>
      </c>
      <c r="E57" s="7">
        <v>241</v>
      </c>
      <c r="F57" s="23" t="str">
        <f>VLOOKUP("*"&amp;TRIM(A57)&amp;"*", 'Sát nhập tỉnh'!A:B, 2, 0)</f>
        <v>TP. Huế</v>
      </c>
    </row>
    <row r="58" spans="1:6" ht="23.75" customHeight="1" x14ac:dyDescent="0.5">
      <c r="A58" s="5" t="s">
        <v>47</v>
      </c>
      <c r="B58" s="6">
        <v>2025</v>
      </c>
      <c r="C58" s="7">
        <v>2556.36</v>
      </c>
      <c r="D58" s="7">
        <v>1801.46</v>
      </c>
      <c r="E58" s="7">
        <v>705</v>
      </c>
      <c r="F58" s="23" t="str">
        <f>VLOOKUP("*"&amp;TRIM(A58)&amp;"*", 'Sát nhập tỉnh'!A:B, 2, 0)</f>
        <v>Đồng Tháp</v>
      </c>
    </row>
    <row r="59" spans="1:6" ht="23.75" customHeight="1" x14ac:dyDescent="0.5">
      <c r="A59" s="5" t="s">
        <v>48</v>
      </c>
      <c r="B59" s="6">
        <v>2025</v>
      </c>
      <c r="C59" s="7">
        <v>2095.39</v>
      </c>
      <c r="D59" s="7">
        <v>9690.83</v>
      </c>
      <c r="E59" s="7">
        <v>4625</v>
      </c>
      <c r="F59" s="23" t="str">
        <f>VLOOKUP("*"&amp;TRIM(A59)&amp;"*", 'Sát nhập tỉnh'!A:B, 2, 0)</f>
        <v>TP. Hồ Chí Minh</v>
      </c>
    </row>
    <row r="60" spans="1:6" ht="23.75" customHeight="1" x14ac:dyDescent="0.5">
      <c r="A60" s="5" t="s">
        <v>49</v>
      </c>
      <c r="B60" s="6">
        <v>2025</v>
      </c>
      <c r="C60" s="7">
        <v>2390.77</v>
      </c>
      <c r="D60" s="7">
        <v>1026.96</v>
      </c>
      <c r="E60" s="7">
        <v>430</v>
      </c>
      <c r="F60" s="23" t="str">
        <f>VLOOKUP("*"&amp;TRIM(A60)&amp;"*", 'Sát nhập tỉnh'!A:B, 2, 0)</f>
        <v>Vĩnh Long</v>
      </c>
    </row>
    <row r="61" spans="1:6" ht="23.75" customHeight="1" x14ac:dyDescent="0.5">
      <c r="A61" s="5" t="s">
        <v>50</v>
      </c>
      <c r="B61" s="6">
        <v>2025</v>
      </c>
      <c r="C61" s="7">
        <v>5867.95</v>
      </c>
      <c r="D61" s="7">
        <v>826.87</v>
      </c>
      <c r="E61" s="7">
        <v>141</v>
      </c>
      <c r="F61" s="23" t="str">
        <f>VLOOKUP("*"&amp;TRIM(A61)&amp;"*", 'Sát nhập tỉnh'!A:B, 2, 0)</f>
        <v>Tuyên Quang</v>
      </c>
    </row>
    <row r="62" spans="1:6" ht="23.75" customHeight="1" x14ac:dyDescent="0.5">
      <c r="A62" s="5" t="s">
        <v>52</v>
      </c>
      <c r="B62" s="6">
        <v>2025</v>
      </c>
      <c r="C62" s="7">
        <v>1525.73</v>
      </c>
      <c r="D62" s="7">
        <v>1042.46</v>
      </c>
      <c r="E62" s="7">
        <v>683</v>
      </c>
      <c r="F62" s="23" t="str">
        <f>VLOOKUP("*"&amp;TRIM(A62)&amp;"*", 'Sát nhập tỉnh'!A:B, 2, 0)</f>
        <v>Vĩnh Long</v>
      </c>
    </row>
    <row r="63" spans="1:6" ht="23.75" customHeight="1" x14ac:dyDescent="0.5">
      <c r="A63" s="5" t="s">
        <v>53</v>
      </c>
      <c r="B63" s="6">
        <v>2025</v>
      </c>
      <c r="C63" s="7">
        <v>1236</v>
      </c>
      <c r="D63" s="7">
        <v>1238.77</v>
      </c>
      <c r="E63" s="7">
        <v>1002</v>
      </c>
      <c r="F63" s="23" t="str">
        <f>VLOOKUP("*"&amp;TRIM(A63)&amp;"*", 'Sát nhập tỉnh'!A:B, 2, 0)</f>
        <v>Phú Thọ</v>
      </c>
    </row>
    <row r="64" spans="1:6" ht="23.75" customHeight="1" x14ac:dyDescent="0.5">
      <c r="A64" s="5" t="s">
        <v>54</v>
      </c>
      <c r="B64" s="6">
        <v>2025</v>
      </c>
      <c r="C64" s="7">
        <v>6892.67</v>
      </c>
      <c r="D64" s="7">
        <v>874.19</v>
      </c>
      <c r="E64" s="7">
        <v>127</v>
      </c>
      <c r="F64" s="23" t="str">
        <f>VLOOKUP("*"&amp;TRIM(A64)&amp;"*", 'Sát nhập tỉnh'!A:B, 2, 0)</f>
        <v>Lào Cai</v>
      </c>
    </row>
  </sheetData>
  <autoFilter ref="A1:F1" xr:uid="{EE47B3CA-9C80-45D3-A301-D85313C2EE80}">
    <sortState xmlns:xlrd2="http://schemas.microsoft.com/office/spreadsheetml/2017/richdata2" ref="A2:F64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C976-974B-45AB-980E-D491DF387DFD}">
  <dimension ref="A1:F64"/>
  <sheetViews>
    <sheetView workbookViewId="0">
      <selection activeCell="F2" sqref="F2"/>
    </sheetView>
  </sheetViews>
  <sheetFormatPr defaultColWidth="22" defaultRowHeight="25.5" customHeight="1" x14ac:dyDescent="0.5"/>
  <cols>
    <col min="1" max="1" width="22" style="1"/>
    <col min="2" max="2" width="22" style="2"/>
    <col min="3" max="3" width="22" style="1"/>
    <col min="4" max="4" width="22" style="2"/>
    <col min="5" max="16384" width="22" style="1"/>
  </cols>
  <sheetData>
    <row r="1" spans="1:6" ht="55.5" customHeight="1" x14ac:dyDescent="0.5">
      <c r="A1" s="16" t="s">
        <v>106</v>
      </c>
      <c r="B1" s="16" t="s">
        <v>115</v>
      </c>
      <c r="C1" s="16" t="s">
        <v>107</v>
      </c>
      <c r="D1" s="16" t="s">
        <v>114</v>
      </c>
      <c r="E1" s="16" t="s">
        <v>109</v>
      </c>
      <c r="F1" s="16" t="s">
        <v>116</v>
      </c>
    </row>
    <row r="2" spans="1:6" ht="25.5" customHeight="1" x14ac:dyDescent="0.5">
      <c r="A2" s="8" t="s">
        <v>11</v>
      </c>
      <c r="B2" s="9">
        <v>314487</v>
      </c>
      <c r="C2" s="10" t="str">
        <f>VLOOKUP("*"&amp;TRIM(A2)&amp;"*", 'Sát nhập tỉnh'!A:B, 2, 0)</f>
        <v>Cao Bằng</v>
      </c>
      <c r="D2" s="13">
        <f t="shared" ref="D2:D33" si="0">B2/100</f>
        <v>3144.87</v>
      </c>
      <c r="E2" s="10">
        <f>VLOOKUP(A2, 'Dân số và diện tích từng tỉnh'!A:D, 4, 0)</f>
        <v>562.92999999999995</v>
      </c>
      <c r="F2" s="10">
        <f>D2*E2</f>
        <v>1770341.6690999998</v>
      </c>
    </row>
    <row r="3" spans="1:6" ht="25.5" customHeight="1" x14ac:dyDescent="0.5">
      <c r="A3" s="8" t="s">
        <v>55</v>
      </c>
      <c r="B3" s="9">
        <v>372187</v>
      </c>
      <c r="C3" s="10" t="str">
        <f>VLOOKUP("*"&amp;TRIM(A3)&amp;"*", 'Sát nhập tỉnh'!A:B, 2, 0)</f>
        <v>Điện Biên</v>
      </c>
      <c r="D3" s="13">
        <f t="shared" si="0"/>
        <v>3721.87</v>
      </c>
      <c r="E3" s="10">
        <f>VLOOKUP(A3, 'Dân số và diện tích từng tỉnh'!A:D, 4, 0)</f>
        <v>667.42</v>
      </c>
      <c r="F3" s="10">
        <f t="shared" ref="F3:F64" si="1">D3*E3</f>
        <v>2484050.4753999999</v>
      </c>
    </row>
    <row r="4" spans="1:6" ht="25.5" customHeight="1" x14ac:dyDescent="0.5">
      <c r="A4" s="8" t="s">
        <v>26</v>
      </c>
      <c r="B4" s="9">
        <v>409967</v>
      </c>
      <c r="C4" s="10" t="str">
        <f>VLOOKUP("*"&amp;TRIM(A4)&amp;"*", 'Sát nhập tỉnh'!A:B, 2, 0)</f>
        <v>Lai Châu</v>
      </c>
      <c r="D4" s="13">
        <f t="shared" si="0"/>
        <v>4099.67</v>
      </c>
      <c r="E4" s="10">
        <f>VLOOKUP(A4, 'Dân số và diện tích từng tỉnh'!A:D, 4, 0)</f>
        <v>501.16</v>
      </c>
      <c r="F4" s="10">
        <f t="shared" si="1"/>
        <v>2054590.6172000002</v>
      </c>
    </row>
    <row r="5" spans="1:6" ht="25.5" customHeight="1" x14ac:dyDescent="0.5">
      <c r="A5" s="8" t="s">
        <v>43</v>
      </c>
      <c r="B5" s="9">
        <v>474764</v>
      </c>
      <c r="C5" s="10" t="str">
        <f>VLOOKUP("*"&amp;TRIM(A5)&amp;"*", 'Sát nhập tỉnh'!A:B, 2, 0)</f>
        <v>Sơn La</v>
      </c>
      <c r="D5" s="13">
        <f t="shared" si="0"/>
        <v>4747.6400000000003</v>
      </c>
      <c r="E5" s="10">
        <f>VLOOKUP(A5, 'Dân số và diện tích từng tỉnh'!A:D, 4, 0)</f>
        <v>1341.22</v>
      </c>
      <c r="F5" s="10">
        <f t="shared" si="1"/>
        <v>6367629.7208000002</v>
      </c>
    </row>
    <row r="6" spans="1:6" ht="25.5" customHeight="1" x14ac:dyDescent="0.5">
      <c r="A6" s="8" t="s">
        <v>14</v>
      </c>
      <c r="B6" s="9">
        <v>519573</v>
      </c>
      <c r="C6" s="10" t="str">
        <f>VLOOKUP("*"&amp;TRIM(A6)&amp;"*", 'Sát nhập tỉnh'!A:B, 2, 0)</f>
        <v>Gia Lai</v>
      </c>
      <c r="D6" s="13">
        <f t="shared" si="0"/>
        <v>5195.7299999999996</v>
      </c>
      <c r="E6" s="10">
        <f>VLOOKUP(A6, 'Dân số và diện tích từng tỉnh'!A:D, 4, 0)</f>
        <v>1654.88</v>
      </c>
      <c r="F6" s="10">
        <f t="shared" si="1"/>
        <v>8598309.6623999998</v>
      </c>
    </row>
    <row r="7" spans="1:6" ht="25.5" customHeight="1" x14ac:dyDescent="0.5">
      <c r="A7" s="8" t="s">
        <v>15</v>
      </c>
      <c r="B7" s="9">
        <v>530157</v>
      </c>
      <c r="C7" s="10" t="str">
        <f>VLOOKUP("*"&amp;TRIM(A7)&amp;"*", 'Sát nhập tỉnh'!A:B, 2, 0)</f>
        <v>Tuyên Quang</v>
      </c>
      <c r="D7" s="13">
        <f t="shared" si="0"/>
        <v>5301.57</v>
      </c>
      <c r="E7" s="10">
        <f>VLOOKUP(A7, 'Dân số và diện tích từng tỉnh'!A:D, 4, 0)</f>
        <v>921.38</v>
      </c>
      <c r="F7" s="10">
        <f t="shared" si="1"/>
        <v>4884760.5665999996</v>
      </c>
    </row>
    <row r="8" spans="1:6" ht="25.5" customHeight="1" x14ac:dyDescent="0.5">
      <c r="A8" s="8" t="s">
        <v>50</v>
      </c>
      <c r="B8" s="9">
        <v>576805</v>
      </c>
      <c r="C8" s="10" t="str">
        <f>VLOOKUP("*"&amp;TRIM(A8)&amp;"*", 'Sát nhập tỉnh'!A:B, 2, 0)</f>
        <v>Tuyên Quang</v>
      </c>
      <c r="D8" s="13">
        <f t="shared" si="0"/>
        <v>5768.05</v>
      </c>
      <c r="E8" s="10">
        <f>VLOOKUP(A8, 'Dân số và diện tích từng tỉnh'!A:D, 4, 0)</f>
        <v>826.87</v>
      </c>
      <c r="F8" s="10">
        <f t="shared" si="1"/>
        <v>4769427.5035000006</v>
      </c>
    </row>
    <row r="9" spans="1:6" ht="25.5" customHeight="1" x14ac:dyDescent="0.5">
      <c r="A9" s="8" t="s">
        <v>58</v>
      </c>
      <c r="B9" s="9">
        <v>591133</v>
      </c>
      <c r="C9" s="10" t="str">
        <f>VLOOKUP("*"&amp;TRIM(A9)&amp;"*", 'Sát nhập tỉnh'!A:B, 2, 0)</f>
        <v>Lâm Đồng</v>
      </c>
      <c r="D9" s="13">
        <f t="shared" si="0"/>
        <v>5911.33</v>
      </c>
      <c r="E9" s="10">
        <f>VLOOKUP(A9, 'Dân số và diện tích từng tỉnh'!A:D, 4, 0)</f>
        <v>704.69</v>
      </c>
      <c r="F9" s="10">
        <f t="shared" si="1"/>
        <v>4165655.1377000003</v>
      </c>
    </row>
    <row r="10" spans="1:6" ht="25.5" customHeight="1" x14ac:dyDescent="0.5">
      <c r="A10" s="8" t="s">
        <v>41</v>
      </c>
      <c r="B10" s="9">
        <v>608516</v>
      </c>
      <c r="C10" s="10" t="str">
        <f>VLOOKUP("*"&amp;TRIM(A10)&amp;"*", 'Sát nhập tỉnh'!A:B, 2, 0)</f>
        <v>Quảng Trị</v>
      </c>
      <c r="D10" s="13">
        <f t="shared" si="0"/>
        <v>6085.16</v>
      </c>
      <c r="E10" s="10">
        <f>VLOOKUP(A10, 'Dân số và diện tích từng tỉnh'!A:D, 4, 0)</f>
        <v>662.21</v>
      </c>
      <c r="F10" s="10">
        <f t="shared" si="1"/>
        <v>4029653.8036000002</v>
      </c>
    </row>
    <row r="11" spans="1:6" ht="25.5" customHeight="1" x14ac:dyDescent="0.5">
      <c r="A11" s="8" t="s">
        <v>10</v>
      </c>
      <c r="B11" s="9">
        <v>630000</v>
      </c>
      <c r="C11" s="10" t="str">
        <f>VLOOKUP("*"&amp;TRIM(A11)&amp;"*", 'Sát nhập tỉnh'!A:B, 2, 0)</f>
        <v>Vĩnh Long</v>
      </c>
      <c r="D11" s="13">
        <f t="shared" si="0"/>
        <v>6300</v>
      </c>
      <c r="E11" s="10">
        <f>VLOOKUP(A11, 'Dân số và diện tích từng tỉnh'!A:D, 4, 0)</f>
        <v>1310.19</v>
      </c>
      <c r="F11" s="10">
        <f t="shared" si="1"/>
        <v>8254197</v>
      </c>
    </row>
    <row r="12" spans="1:6" ht="25.5" customHeight="1" x14ac:dyDescent="0.5">
      <c r="A12" s="8" t="s">
        <v>28</v>
      </c>
      <c r="B12" s="9">
        <v>643302</v>
      </c>
      <c r="C12" s="10" t="str">
        <f>VLOOKUP("*"&amp;TRIM(A12)&amp;"*", 'Sát nhập tỉnh'!A:B, 2, 0)</f>
        <v>Lào Cai</v>
      </c>
      <c r="D12" s="13">
        <f t="shared" si="0"/>
        <v>6433.02</v>
      </c>
      <c r="E12" s="10">
        <f>VLOOKUP(A12, 'Dân số và diện tích từng tỉnh'!A:D, 4, 0)</f>
        <v>801.48</v>
      </c>
      <c r="F12" s="10">
        <f t="shared" si="1"/>
        <v>5155936.8696000008</v>
      </c>
    </row>
    <row r="13" spans="1:6" ht="25.5" customHeight="1" x14ac:dyDescent="0.5">
      <c r="A13" s="8" t="s">
        <v>30</v>
      </c>
      <c r="B13" s="9">
        <v>649712</v>
      </c>
      <c r="C13" s="10" t="str">
        <f>VLOOKUP("*"&amp;TRIM(A13)&amp;"*", 'Sát nhập tỉnh'!A:B, 2, 0)</f>
        <v>Lạng Sơn</v>
      </c>
      <c r="D13" s="13">
        <f t="shared" si="0"/>
        <v>6497.12</v>
      </c>
      <c r="E13" s="10">
        <f>VLOOKUP(A13, 'Dân số và diện tích từng tỉnh'!A:D, 4, 0)</f>
        <v>820.63</v>
      </c>
      <c r="F13" s="10">
        <f t="shared" si="1"/>
        <v>5331731.5855999999</v>
      </c>
    </row>
    <row r="14" spans="1:6" ht="25.5" customHeight="1" x14ac:dyDescent="0.5">
      <c r="A14" s="8" t="s">
        <v>8</v>
      </c>
      <c r="B14" s="9">
        <v>656109</v>
      </c>
      <c r="C14" s="10" t="str">
        <f>VLOOKUP("*"&amp;TRIM(A14)&amp;"*", 'Sát nhập tỉnh'!A:B, 2, 0)</f>
        <v>Thái Nguyên</v>
      </c>
      <c r="D14" s="13">
        <f t="shared" si="0"/>
        <v>6561.09</v>
      </c>
      <c r="E14" s="10">
        <f>VLOOKUP(A14, 'Dân số và diện tích từng tỉnh'!A:D, 4, 0)</f>
        <v>331.5</v>
      </c>
      <c r="F14" s="10">
        <f t="shared" si="1"/>
        <v>2175001.335</v>
      </c>
    </row>
    <row r="15" spans="1:6" ht="25.5" customHeight="1" x14ac:dyDescent="0.5">
      <c r="A15" s="8" t="s">
        <v>25</v>
      </c>
      <c r="B15" s="9">
        <v>657299</v>
      </c>
      <c r="C15" s="10" t="str">
        <f>VLOOKUP("*"&amp;TRIM(A15)&amp;"*", 'Sát nhập tỉnh'!A:B, 2, 0)</f>
        <v>Quảng Ngãi</v>
      </c>
      <c r="D15" s="13">
        <f t="shared" si="0"/>
        <v>6572.99</v>
      </c>
      <c r="E15" s="10">
        <f>VLOOKUP(A15, 'Dân số và diện tích từng tỉnh'!A:D, 4, 0)</f>
        <v>612.52</v>
      </c>
      <c r="F15" s="10">
        <f t="shared" si="1"/>
        <v>4026087.8347999998</v>
      </c>
    </row>
    <row r="16" spans="1:6" ht="25.5" customHeight="1" x14ac:dyDescent="0.5">
      <c r="A16" s="8" t="s">
        <v>34</v>
      </c>
      <c r="B16" s="9">
        <v>658026</v>
      </c>
      <c r="C16" s="10" t="str">
        <f>VLOOKUP("*"&amp;TRIM(A16)&amp;"*", 'Sát nhập tỉnh'!A:B, 2, 0)</f>
        <v>Khánh Hoà</v>
      </c>
      <c r="D16" s="13">
        <f t="shared" si="0"/>
        <v>6580.26</v>
      </c>
      <c r="E16" s="10">
        <f>VLOOKUP(A16, 'Dân số và diện tích từng tỉnh'!A:D, 4, 0)</f>
        <v>619.42999999999995</v>
      </c>
      <c r="F16" s="10">
        <f t="shared" si="1"/>
        <v>4076010.4517999999</v>
      </c>
    </row>
    <row r="17" spans="1:6" ht="25.5" customHeight="1" x14ac:dyDescent="0.5">
      <c r="A17" s="8" t="s">
        <v>22</v>
      </c>
      <c r="B17" s="9">
        <v>666455</v>
      </c>
      <c r="C17" s="10" t="str">
        <f>VLOOKUP("*"&amp;TRIM(A17)&amp;"*", 'Sát nhập tỉnh'!A:B, 2, 0)</f>
        <v>TP. Cần Thơ</v>
      </c>
      <c r="D17" s="13">
        <f t="shared" si="0"/>
        <v>6664.55</v>
      </c>
      <c r="E17" s="10">
        <f>VLOOKUP(A17, 'Dân số và diện tích từng tỉnh'!A:D, 4, 0)</f>
        <v>712.59</v>
      </c>
      <c r="F17" s="10">
        <f t="shared" si="1"/>
        <v>4749091.6845000004</v>
      </c>
    </row>
    <row r="18" spans="1:6" ht="25.5" customHeight="1" x14ac:dyDescent="0.5">
      <c r="A18" s="8" t="s">
        <v>54</v>
      </c>
      <c r="B18" s="9">
        <v>667694</v>
      </c>
      <c r="C18" s="10" t="str">
        <f>VLOOKUP("*"&amp;TRIM(A18)&amp;"*", 'Sát nhập tỉnh'!A:B, 2, 0)</f>
        <v>Lào Cai</v>
      </c>
      <c r="D18" s="13">
        <f t="shared" si="0"/>
        <v>6676.94</v>
      </c>
      <c r="E18" s="10">
        <f>VLOOKUP(A18, 'Dân số và diện tích từng tỉnh'!A:D, 4, 0)</f>
        <v>874.19</v>
      </c>
      <c r="F18" s="10">
        <f t="shared" si="1"/>
        <v>5836914.1786000002</v>
      </c>
    </row>
    <row r="19" spans="1:6" ht="25.5" customHeight="1" x14ac:dyDescent="0.5">
      <c r="A19" s="8" t="s">
        <v>61</v>
      </c>
      <c r="B19" s="9">
        <v>670415</v>
      </c>
      <c r="C19" s="10" t="str">
        <f>VLOOKUP("*"&amp;TRIM(A19)&amp;"*", 'Sát nhập tỉnh'!A:B, 2, 0)</f>
        <v>Phú Thọ</v>
      </c>
      <c r="D19" s="13">
        <f t="shared" si="0"/>
        <v>6704.15</v>
      </c>
      <c r="E19" s="10">
        <f>VLOOKUP(A19, 'Dân số và diện tích từng tỉnh'!A:D, 4, 0)</f>
        <v>903.45</v>
      </c>
      <c r="F19" s="10">
        <f t="shared" si="1"/>
        <v>6056864.3174999999</v>
      </c>
    </row>
    <row r="20" spans="1:6" ht="25.5" customHeight="1" x14ac:dyDescent="0.5">
      <c r="A20" s="8" t="s">
        <v>52</v>
      </c>
      <c r="B20" s="9">
        <v>673975</v>
      </c>
      <c r="C20" s="10" t="str">
        <f>VLOOKUP("*"&amp;TRIM(A20)&amp;"*", 'Sát nhập tỉnh'!A:B, 2, 0)</f>
        <v>Vĩnh Long</v>
      </c>
      <c r="D20" s="13">
        <f t="shared" si="0"/>
        <v>6739.75</v>
      </c>
      <c r="E20" s="10">
        <f>VLOOKUP(A20, 'Dân số và diện tích từng tỉnh'!A:D, 4, 0)</f>
        <v>1042.46</v>
      </c>
      <c r="F20" s="10">
        <f t="shared" si="1"/>
        <v>7025919.7850000001</v>
      </c>
    </row>
    <row r="21" spans="1:6" ht="25.5" customHeight="1" x14ac:dyDescent="0.5">
      <c r="A21" s="8" t="s">
        <v>49</v>
      </c>
      <c r="B21" s="9">
        <v>676721</v>
      </c>
      <c r="C21" s="10" t="str">
        <f>VLOOKUP("*"&amp;TRIM(A21)&amp;"*", 'Sát nhập tỉnh'!A:B, 2, 0)</f>
        <v>Vĩnh Long</v>
      </c>
      <c r="D21" s="13">
        <f t="shared" si="0"/>
        <v>6767.21</v>
      </c>
      <c r="E21" s="10">
        <f>VLOOKUP(A21, 'Dân số và diện tích từng tỉnh'!A:D, 4, 0)</f>
        <v>1026.96</v>
      </c>
      <c r="F21" s="10">
        <f t="shared" si="1"/>
        <v>6949653.9816000005</v>
      </c>
    </row>
    <row r="22" spans="1:6" ht="25.5" customHeight="1" x14ac:dyDescent="0.5">
      <c r="A22" s="8" t="s">
        <v>38</v>
      </c>
      <c r="B22" s="9">
        <v>692724</v>
      </c>
      <c r="C22" s="10" t="str">
        <f>VLOOKUP("*"&amp;TRIM(A22)&amp;"*", 'Sát nhập tỉnh'!A:B, 2, 0)</f>
        <v>TP. Đà Nẵng</v>
      </c>
      <c r="D22" s="13">
        <f t="shared" si="0"/>
        <v>6927.24</v>
      </c>
      <c r="E22" s="10">
        <f>VLOOKUP(A22, 'Dân số và diện tích từng tỉnh'!A:D, 4, 0)</f>
        <v>1551.66</v>
      </c>
      <c r="F22" s="10">
        <f t="shared" si="1"/>
        <v>10748721.2184</v>
      </c>
    </row>
    <row r="23" spans="1:6" ht="25.5" customHeight="1" x14ac:dyDescent="0.5">
      <c r="A23" s="8" t="s">
        <v>12</v>
      </c>
      <c r="B23" s="9">
        <v>700151</v>
      </c>
      <c r="C23" s="10" t="str">
        <f>VLOOKUP("*"&amp;TRIM(A23)&amp;"*", 'Sát nhập tỉnh'!A:B, 2, 0)</f>
        <v>Cà Mau</v>
      </c>
      <c r="D23" s="13">
        <f t="shared" si="0"/>
        <v>7001.51</v>
      </c>
      <c r="E23" s="10">
        <f>VLOOKUP(A23, 'Dân số và diện tích từng tỉnh'!A:D, 4, 0)</f>
        <v>1218.03</v>
      </c>
      <c r="F23" s="10">
        <f t="shared" si="1"/>
        <v>8528049.225300001</v>
      </c>
    </row>
    <row r="24" spans="1:6" ht="25.5" customHeight="1" x14ac:dyDescent="0.5">
      <c r="A24" s="8" t="s">
        <v>39</v>
      </c>
      <c r="B24" s="9">
        <v>700441</v>
      </c>
      <c r="C24" s="10" t="str">
        <f>VLOOKUP("*"&amp;TRIM(A24)&amp;"*", 'Sát nhập tỉnh'!A:B, 2, 0)</f>
        <v>Quảng Ngãi</v>
      </c>
      <c r="D24" s="13">
        <f t="shared" si="0"/>
        <v>7004.41</v>
      </c>
      <c r="E24" s="10">
        <f>VLOOKUP(A24, 'Dân số và diện tích từng tỉnh'!A:D, 4, 0)</f>
        <v>1268.72</v>
      </c>
      <c r="F24" s="10">
        <f t="shared" si="1"/>
        <v>8886635.0551999994</v>
      </c>
    </row>
    <row r="25" spans="1:6" ht="25.5" customHeight="1" x14ac:dyDescent="0.5">
      <c r="A25" s="8" t="s">
        <v>0</v>
      </c>
      <c r="B25" s="9">
        <v>706216</v>
      </c>
      <c r="C25" s="10" t="str">
        <f>VLOOKUP("*"&amp;TRIM(A25)&amp;"*", 'Sát nhập tỉnh'!A:B, 2, 0)</f>
        <v>An Giang</v>
      </c>
      <c r="D25" s="13">
        <f t="shared" si="0"/>
        <v>7062.16</v>
      </c>
      <c r="E25" s="10">
        <f>VLOOKUP(A25, 'Dân số và diện tích từng tỉnh'!A:D, 4, 0)</f>
        <v>1914.49</v>
      </c>
      <c r="F25" s="10">
        <f t="shared" si="1"/>
        <v>13520434.6984</v>
      </c>
    </row>
    <row r="26" spans="1:6" ht="25.5" customHeight="1" x14ac:dyDescent="0.5">
      <c r="A26" s="8" t="s">
        <v>5</v>
      </c>
      <c r="B26" s="9">
        <v>707351</v>
      </c>
      <c r="C26" s="10" t="str">
        <f>VLOOKUP("*"&amp;TRIM(A26)&amp;"*", 'Sát nhập tỉnh'!A:B, 2, 0)</f>
        <v>Gia Lai</v>
      </c>
      <c r="D26" s="13">
        <f t="shared" si="0"/>
        <v>7073.51</v>
      </c>
      <c r="E26" s="10">
        <f>VLOOKUP(A26, 'Dân số và diện tích từng tỉnh'!A:D, 4, 0)</f>
        <v>1527.77</v>
      </c>
      <c r="F26" s="10">
        <f t="shared" si="1"/>
        <v>10806696.3727</v>
      </c>
    </row>
    <row r="27" spans="1:6" ht="25.5" customHeight="1" x14ac:dyDescent="0.5">
      <c r="A27" s="8" t="s">
        <v>36</v>
      </c>
      <c r="B27" s="9">
        <v>708593</v>
      </c>
      <c r="C27" s="10" t="str">
        <f>VLOOKUP("*"&amp;TRIM(A27)&amp;"*", 'Sát nhập tỉnh'!A:B, 2, 0)</f>
        <v>Đắk Lắk</v>
      </c>
      <c r="D27" s="13">
        <f t="shared" si="0"/>
        <v>7085.93</v>
      </c>
      <c r="E27" s="10">
        <f>VLOOKUP(A27, 'Dân số và diện tích từng tỉnh'!A:D, 4, 0)</f>
        <v>887.74</v>
      </c>
      <c r="F27" s="10">
        <f t="shared" si="1"/>
        <v>6290463.4982000003</v>
      </c>
    </row>
    <row r="28" spans="1:6" ht="25.5" customHeight="1" x14ac:dyDescent="0.5">
      <c r="A28" s="8" t="s">
        <v>4</v>
      </c>
      <c r="B28" s="9">
        <v>709289</v>
      </c>
      <c r="C28" s="10" t="str">
        <f>VLOOKUP("*"&amp;TRIM(A28)&amp;"*", 'Sát nhập tỉnh'!A:B, 2, 0)</f>
        <v>Lâm Đồng</v>
      </c>
      <c r="D28" s="13">
        <f t="shared" si="0"/>
        <v>7092.89</v>
      </c>
      <c r="E28" s="10">
        <f>VLOOKUP(A28, 'Dân số và diện tích từng tỉnh'!A:D, 4, 0)</f>
        <v>1274.31</v>
      </c>
      <c r="F28" s="10">
        <f t="shared" si="1"/>
        <v>9038540.6558999997</v>
      </c>
    </row>
    <row r="29" spans="1:6" ht="25.5" customHeight="1" x14ac:dyDescent="0.5">
      <c r="A29" s="8" t="s">
        <v>42</v>
      </c>
      <c r="B29" s="9">
        <v>709318</v>
      </c>
      <c r="C29" s="10" t="str">
        <f>VLOOKUP("*"&amp;TRIM(A29)&amp;"*", 'Sát nhập tỉnh'!A:B, 2, 0)</f>
        <v>TP. Cần Thơ</v>
      </c>
      <c r="D29" s="13">
        <f t="shared" si="0"/>
        <v>7093.18</v>
      </c>
      <c r="E29" s="10">
        <f>VLOOKUP(A29, 'Dân số và diện tích từng tỉnh'!A:D, 4, 0)</f>
        <v>1226.6400000000001</v>
      </c>
      <c r="F29" s="10">
        <f t="shared" si="1"/>
        <v>8700778.315200001</v>
      </c>
    </row>
    <row r="30" spans="1:6" ht="25.5" customHeight="1" x14ac:dyDescent="0.5">
      <c r="A30" s="8" t="s">
        <v>37</v>
      </c>
      <c r="B30" s="9">
        <v>711290</v>
      </c>
      <c r="C30" s="10" t="str">
        <f>VLOOKUP("*"&amp;TRIM(A30)&amp;"*", 'Sát nhập tỉnh'!A:B, 2, 0)</f>
        <v>Quảng Trị</v>
      </c>
      <c r="D30" s="13">
        <f t="shared" si="0"/>
        <v>7112.9</v>
      </c>
      <c r="E30" s="10">
        <f>VLOOKUP(A30, 'Dân số và diện tích từng tỉnh'!A:D, 4, 0)</f>
        <v>931.92</v>
      </c>
      <c r="F30" s="10">
        <f t="shared" si="1"/>
        <v>6628653.7679999992</v>
      </c>
    </row>
    <row r="31" spans="1:6" ht="25.5" customHeight="1" x14ac:dyDescent="0.5">
      <c r="A31" s="8" t="s">
        <v>57</v>
      </c>
      <c r="B31" s="9">
        <v>728345</v>
      </c>
      <c r="C31" s="10" t="str">
        <f>VLOOKUP("*"&amp;TRIM(A31)&amp;"*", 'Sát nhập tỉnh'!A:B, 2, 0)</f>
        <v>Đắk Lắk</v>
      </c>
      <c r="D31" s="13">
        <f t="shared" si="0"/>
        <v>7283.45</v>
      </c>
      <c r="E31" s="10">
        <f>VLOOKUP(A31, 'Dân số và diện tích từng tỉnh'!A:D, 4, 0)</f>
        <v>1961.46</v>
      </c>
      <c r="F31" s="10">
        <f t="shared" si="1"/>
        <v>14286195.836999999</v>
      </c>
    </row>
    <row r="32" spans="1:6" ht="25.5" customHeight="1" x14ac:dyDescent="0.5">
      <c r="A32" s="8" t="s">
        <v>18</v>
      </c>
      <c r="B32" s="9">
        <v>731708</v>
      </c>
      <c r="C32" s="10" t="str">
        <f>VLOOKUP("*"&amp;TRIM(A32)&amp;"*", 'Sát nhập tỉnh'!A:B, 2, 0)</f>
        <v>Hà Tĩnh</v>
      </c>
      <c r="D32" s="13">
        <f t="shared" si="0"/>
        <v>7317.08</v>
      </c>
      <c r="E32" s="10">
        <f>VLOOKUP(A32, 'Dân số và diện tích từng tỉnh'!A:D, 4, 0)</f>
        <v>1335.14</v>
      </c>
      <c r="F32" s="10">
        <f t="shared" si="1"/>
        <v>9769326.1912000012</v>
      </c>
    </row>
    <row r="33" spans="1:6" ht="25.5" customHeight="1" x14ac:dyDescent="0.5">
      <c r="A33" s="8" t="s">
        <v>32</v>
      </c>
      <c r="B33" s="9">
        <v>742517</v>
      </c>
      <c r="C33" s="10" t="str">
        <f>VLOOKUP("*"&amp;TRIM(A33)&amp;"*", 'Sát nhập tỉnh'!A:B, 2, 0)</f>
        <v>Nghệ An</v>
      </c>
      <c r="D33" s="13">
        <f t="shared" si="0"/>
        <v>7425.17</v>
      </c>
      <c r="E33" s="10">
        <f>VLOOKUP(A33, 'Dân số và diện tích từng tỉnh'!A:D, 4, 0)</f>
        <v>3497.75</v>
      </c>
      <c r="F33" s="10">
        <f t="shared" si="1"/>
        <v>25971388.3675</v>
      </c>
    </row>
    <row r="34" spans="1:6" ht="25.5" customHeight="1" x14ac:dyDescent="0.5">
      <c r="A34" s="8" t="s">
        <v>29</v>
      </c>
      <c r="B34" s="9">
        <v>742937</v>
      </c>
      <c r="C34" s="10" t="str">
        <f>VLOOKUP("*"&amp;TRIM(A34)&amp;"*", 'Sát nhập tỉnh'!A:B, 2, 0)</f>
        <v>Lâm Đồng</v>
      </c>
      <c r="D34" s="13">
        <f t="shared" ref="D34:D64" si="2">B34/100</f>
        <v>7429.37</v>
      </c>
      <c r="E34" s="10">
        <f>VLOOKUP(A34, 'Dân số và diện tích từng tỉnh'!A:D, 4, 0)</f>
        <v>1377.38</v>
      </c>
      <c r="F34" s="10">
        <f t="shared" si="1"/>
        <v>10233065.650600001</v>
      </c>
    </row>
    <row r="35" spans="1:6" ht="25.5" customHeight="1" x14ac:dyDescent="0.5">
      <c r="A35" s="8" t="s">
        <v>62</v>
      </c>
      <c r="B35" s="9">
        <v>750382</v>
      </c>
      <c r="C35" s="10" t="str">
        <f>VLOOKUP("*"&amp;TRIM(A35)&amp;"*", 'Sát nhập tỉnh'!A:B, 2, 0)</f>
        <v>Thanh Hóa</v>
      </c>
      <c r="D35" s="13">
        <f t="shared" si="2"/>
        <v>7503.82</v>
      </c>
      <c r="E35" s="10">
        <f>VLOOKUP(A35, 'Dân số và diện tích từng tỉnh'!A:D, 4, 0)</f>
        <v>3771.77</v>
      </c>
      <c r="F35" s="10">
        <f t="shared" si="1"/>
        <v>28302683.161399998</v>
      </c>
    </row>
    <row r="36" spans="1:6" ht="25.5" customHeight="1" x14ac:dyDescent="0.5">
      <c r="A36" s="8" t="s">
        <v>35</v>
      </c>
      <c r="B36" s="9">
        <v>754208</v>
      </c>
      <c r="C36" s="10" t="str">
        <f>VLOOKUP("*"&amp;TRIM(A36)&amp;"*", 'Sát nhập tỉnh'!A:B, 2, 0)</f>
        <v>Phú Thọ</v>
      </c>
      <c r="D36" s="13">
        <f t="shared" si="2"/>
        <v>7542.08</v>
      </c>
      <c r="E36" s="10">
        <f>VLOOKUP(A36, 'Dân số và diện tích từng tỉnh'!A:D, 4, 0)</f>
        <v>1559.32</v>
      </c>
      <c r="F36" s="10">
        <f t="shared" si="1"/>
        <v>11760516.1856</v>
      </c>
    </row>
    <row r="37" spans="1:6" ht="25.5" customHeight="1" x14ac:dyDescent="0.5">
      <c r="A37" s="8" t="s">
        <v>6</v>
      </c>
      <c r="B37" s="9">
        <v>759201</v>
      </c>
      <c r="C37" s="10" t="str">
        <f>VLOOKUP("*"&amp;TRIM(A37)&amp;"*", 'Sát nhập tỉnh'!A:B, 2, 0)</f>
        <v>Cà Mau</v>
      </c>
      <c r="D37" s="13">
        <f t="shared" si="2"/>
        <v>7592.01</v>
      </c>
      <c r="E37" s="10">
        <f>VLOOKUP(A37, 'Dân số và diện tích từng tỉnh'!A:D, 4, 0)</f>
        <v>932.41</v>
      </c>
      <c r="F37" s="10">
        <f t="shared" si="1"/>
        <v>7078866.0440999996</v>
      </c>
    </row>
    <row r="38" spans="1:6" ht="25.5" customHeight="1" x14ac:dyDescent="0.5">
      <c r="A38" s="8" t="s">
        <v>23</v>
      </c>
      <c r="B38" s="9">
        <v>769954</v>
      </c>
      <c r="C38" s="10" t="str">
        <f>VLOOKUP("*"&amp;TRIM(A38)&amp;"*", 'Sát nhập tỉnh'!A:B, 2, 0)</f>
        <v>Khánh Hoà</v>
      </c>
      <c r="D38" s="13">
        <f t="shared" si="2"/>
        <v>7699.54</v>
      </c>
      <c r="E38" s="10">
        <f>VLOOKUP(A38, 'Dân số và diện tích từng tỉnh'!A:D, 4, 0)</f>
        <v>1279.1199999999999</v>
      </c>
      <c r="F38" s="10">
        <f t="shared" si="1"/>
        <v>9848635.6047999989</v>
      </c>
    </row>
    <row r="39" spans="1:6" ht="25.5" customHeight="1" x14ac:dyDescent="0.5">
      <c r="A39" s="8" t="s">
        <v>46</v>
      </c>
      <c r="B39" s="9">
        <v>769969</v>
      </c>
      <c r="C39" s="10" t="str">
        <f>VLOOKUP("*"&amp;TRIM(A39)&amp;"*", 'Sát nhập tỉnh'!A:B, 2, 0)</f>
        <v>TP. Huế</v>
      </c>
      <c r="D39" s="13">
        <f t="shared" si="2"/>
        <v>7699.69</v>
      </c>
      <c r="E39" s="10">
        <f>VLOOKUP(A39, 'Dân số và diện tích từng tỉnh'!A:D, 4, 0)</f>
        <v>1190.3399999999999</v>
      </c>
      <c r="F39" s="10">
        <f t="shared" si="1"/>
        <v>9165248.994599998</v>
      </c>
    </row>
    <row r="40" spans="1:6" ht="25.5" customHeight="1" x14ac:dyDescent="0.5">
      <c r="A40" s="8" t="s">
        <v>51</v>
      </c>
      <c r="B40" s="9">
        <v>788339</v>
      </c>
      <c r="C40" s="10" t="str">
        <f>VLOOKUP("*"&amp;TRIM(A40)&amp;"*", 'Sát nhập tỉnh'!A:B, 2, 0)</f>
        <v>Tây Ninh</v>
      </c>
      <c r="D40" s="13">
        <f t="shared" si="2"/>
        <v>7883.39</v>
      </c>
      <c r="E40" s="10">
        <f>VLOOKUP(A40, 'Dân số và diện tích từng tỉnh'!A:D, 4, 0)</f>
        <v>1211.01</v>
      </c>
      <c r="F40" s="10">
        <f t="shared" si="1"/>
        <v>9546864.1239</v>
      </c>
    </row>
    <row r="41" spans="1:6" ht="25.5" customHeight="1" x14ac:dyDescent="0.5">
      <c r="A41" s="8" t="s">
        <v>3</v>
      </c>
      <c r="B41" s="9">
        <v>792136</v>
      </c>
      <c r="C41" s="10" t="str">
        <f>VLOOKUP("*"&amp;TRIM(A41)&amp;"*", 'Sát nhập tỉnh'!A:B, 2, 0)</f>
        <v>Đồng Nai</v>
      </c>
      <c r="D41" s="13">
        <f t="shared" si="2"/>
        <v>7921.36</v>
      </c>
      <c r="E41" s="10">
        <f>VLOOKUP(A41, 'Dân số và diện tích từng tỉnh'!A:D, 4, 0)</f>
        <v>1077.73</v>
      </c>
      <c r="F41" s="10">
        <f t="shared" si="1"/>
        <v>8537087.3127999995</v>
      </c>
    </row>
    <row r="42" spans="1:6" ht="25.5" customHeight="1" x14ac:dyDescent="0.5">
      <c r="A42" s="8" t="s">
        <v>13</v>
      </c>
      <c r="B42" s="9">
        <v>792812</v>
      </c>
      <c r="C42" s="10" t="str">
        <f>VLOOKUP("*"&amp;TRIM(A42)&amp;"*", 'Sát nhập tỉnh'!A:B, 2, 0)</f>
        <v>TP. Cần Thơ</v>
      </c>
      <c r="D42" s="13">
        <f t="shared" si="2"/>
        <v>7928.12</v>
      </c>
      <c r="E42" s="10">
        <f>VLOOKUP(A42, 'Dân số và diện tích từng tỉnh'!A:D, 4, 0)</f>
        <v>1285.71</v>
      </c>
      <c r="F42" s="10">
        <f t="shared" si="1"/>
        <v>10193263.165200001</v>
      </c>
    </row>
    <row r="43" spans="1:6" ht="25.5" customHeight="1" x14ac:dyDescent="0.5">
      <c r="A43" s="8" t="s">
        <v>47</v>
      </c>
      <c r="B43" s="9">
        <v>796691</v>
      </c>
      <c r="C43" s="10" t="str">
        <f>VLOOKUP("*"&amp;TRIM(A43)&amp;"*", 'Sát nhập tỉnh'!A:B, 2, 0)</f>
        <v>Đồng Tháp</v>
      </c>
      <c r="D43" s="13">
        <f t="shared" si="2"/>
        <v>7966.91</v>
      </c>
      <c r="E43" s="10">
        <f>VLOOKUP(A43, 'Dân số và diện tích từng tỉnh'!A:D, 4, 0)</f>
        <v>1801.46</v>
      </c>
      <c r="F43" s="10">
        <f t="shared" si="1"/>
        <v>14352069.6886</v>
      </c>
    </row>
    <row r="44" spans="1:6" ht="25.5" customHeight="1" x14ac:dyDescent="0.5">
      <c r="A44" s="8" t="s">
        <v>60</v>
      </c>
      <c r="B44" s="9">
        <v>800764</v>
      </c>
      <c r="C44" s="10" t="str">
        <f>VLOOKUP("*"&amp;TRIM(A44)&amp;"*", 'Sát nhập tỉnh'!A:B, 2, 0)</f>
        <v>Đồng Tháp</v>
      </c>
      <c r="D44" s="13">
        <f t="shared" si="2"/>
        <v>8007.64</v>
      </c>
      <c r="E44" s="10">
        <f>VLOOKUP(A44, 'Dân số và diện tích từng tỉnh'!A:D, 4, 0)</f>
        <v>1602.32</v>
      </c>
      <c r="F44" s="10">
        <f t="shared" si="1"/>
        <v>12830801.7248</v>
      </c>
    </row>
    <row r="45" spans="1:6" ht="25.5" customHeight="1" x14ac:dyDescent="0.5">
      <c r="A45" s="8" t="s">
        <v>45</v>
      </c>
      <c r="B45" s="9">
        <v>801573</v>
      </c>
      <c r="C45" s="10" t="str">
        <f>VLOOKUP("*"&amp;TRIM(A45)&amp;"*", 'Sát nhập tỉnh'!A:B, 2, 0)</f>
        <v>Thái Nguyên</v>
      </c>
      <c r="D45" s="13">
        <f t="shared" si="2"/>
        <v>8015.73</v>
      </c>
      <c r="E45" s="10">
        <f>VLOOKUP(A45, 'Dân số và diện tích từng tỉnh'!A:D, 4, 0)</f>
        <v>1380.08</v>
      </c>
      <c r="F45" s="10">
        <f t="shared" si="1"/>
        <v>11062348.658399999</v>
      </c>
    </row>
    <row r="46" spans="1:6" ht="25.5" customHeight="1" x14ac:dyDescent="0.5">
      <c r="A46" s="8" t="s">
        <v>7</v>
      </c>
      <c r="B46" s="9">
        <v>806496</v>
      </c>
      <c r="C46" s="10" t="str">
        <f>VLOOKUP("*"&amp;TRIM(A46)&amp;"*", 'Sát nhập tỉnh'!A:B, 2, 0)</f>
        <v>Bắc Ninh</v>
      </c>
      <c r="D46" s="13">
        <f t="shared" si="2"/>
        <v>8064.96</v>
      </c>
      <c r="E46" s="10">
        <f>VLOOKUP(A46, 'Dân số và diện tích từng tỉnh'!A:D, 4, 0)</f>
        <v>1997.92</v>
      </c>
      <c r="F46" s="10">
        <f t="shared" si="1"/>
        <v>16113144.883200001</v>
      </c>
    </row>
    <row r="47" spans="1:6" ht="25.5" customHeight="1" x14ac:dyDescent="0.5">
      <c r="A47" s="8" t="s">
        <v>31</v>
      </c>
      <c r="B47" s="9">
        <v>810555</v>
      </c>
      <c r="C47" s="10" t="str">
        <f>VLOOKUP("*"&amp;TRIM(A47)&amp;"*", 'Sát nhập tỉnh'!A:B, 2, 0)</f>
        <v>Ninh Bình</v>
      </c>
      <c r="D47" s="13">
        <f t="shared" si="2"/>
        <v>8105.55</v>
      </c>
      <c r="E47" s="10">
        <f>VLOOKUP(A47, 'Dân số và diện tích từng tỉnh'!A:D, 4, 0)</f>
        <v>1897.99</v>
      </c>
      <c r="F47" s="10">
        <f t="shared" si="1"/>
        <v>15384252.8445</v>
      </c>
    </row>
    <row r="48" spans="1:6" ht="25.5" customHeight="1" x14ac:dyDescent="0.5">
      <c r="A48" s="8" t="s">
        <v>24</v>
      </c>
      <c r="B48" s="9">
        <v>818082</v>
      </c>
      <c r="C48" s="10" t="str">
        <f>VLOOKUP("*"&amp;TRIM(A48)&amp;"*", 'Sát nhập tỉnh'!A:B, 2, 0)</f>
        <v>An Giang</v>
      </c>
      <c r="D48" s="13">
        <f t="shared" si="2"/>
        <v>8180.82</v>
      </c>
      <c r="E48" s="10">
        <f>VLOOKUP(A48, 'Dân số và diện tích từng tỉnh'!A:D, 4, 0)</f>
        <v>1780.1</v>
      </c>
      <c r="F48" s="10">
        <f t="shared" si="1"/>
        <v>14562677.681999998</v>
      </c>
    </row>
    <row r="49" spans="1:6" ht="25.5" customHeight="1" x14ac:dyDescent="0.5">
      <c r="A49" s="8" t="s">
        <v>44</v>
      </c>
      <c r="B49" s="9">
        <v>818570</v>
      </c>
      <c r="C49" s="10" t="str">
        <f>VLOOKUP("*"&amp;TRIM(A49)&amp;"*", 'Sát nhập tỉnh'!A:B, 2, 0)</f>
        <v>Hưng Yên</v>
      </c>
      <c r="D49" s="13">
        <f t="shared" si="2"/>
        <v>8185.7</v>
      </c>
      <c r="E49" s="10">
        <f>VLOOKUP(A49, 'Dân số và diện tích từng tỉnh'!A:D, 4, 0)</f>
        <v>1901.75</v>
      </c>
      <c r="F49" s="10">
        <f t="shared" si="1"/>
        <v>15567154.975</v>
      </c>
    </row>
    <row r="50" spans="1:6" ht="25.5" customHeight="1" x14ac:dyDescent="0.5">
      <c r="A50" s="8" t="s">
        <v>27</v>
      </c>
      <c r="B50" s="9">
        <v>859919</v>
      </c>
      <c r="C50" s="10" t="str">
        <f>VLOOKUP("*"&amp;TRIM(A50)&amp;"*", 'Sát nhập tỉnh'!A:B, 2, 0)</f>
        <v>Tây Ninh</v>
      </c>
      <c r="D50" s="13">
        <f t="shared" si="2"/>
        <v>8599.19</v>
      </c>
      <c r="E50" s="10">
        <f>VLOOKUP(A50, 'Dân số và diện tích từng tỉnh'!A:D, 4, 0)</f>
        <v>1769.28</v>
      </c>
      <c r="F50" s="10">
        <f t="shared" si="1"/>
        <v>15214374.883200001</v>
      </c>
    </row>
    <row r="51" spans="1:6" ht="25.5" customHeight="1" x14ac:dyDescent="0.5">
      <c r="A51" s="8" t="s">
        <v>16</v>
      </c>
      <c r="B51" s="9">
        <v>868224</v>
      </c>
      <c r="C51" s="10" t="str">
        <f>VLOOKUP("*"&amp;TRIM(A51)&amp;"*", 'Sát nhập tỉnh'!A:B, 2, 0)</f>
        <v>Ninh Bình</v>
      </c>
      <c r="D51" s="13">
        <f t="shared" si="2"/>
        <v>8682.24</v>
      </c>
      <c r="E51" s="10">
        <f>VLOOKUP(A51, 'Dân số và diện tích từng tỉnh'!A:D, 4, 0)</f>
        <v>903.16</v>
      </c>
      <c r="F51" s="10">
        <f t="shared" si="1"/>
        <v>7841451.8783999998</v>
      </c>
    </row>
    <row r="52" spans="1:6" ht="25.5" customHeight="1" x14ac:dyDescent="0.5">
      <c r="A52" s="8" t="s">
        <v>33</v>
      </c>
      <c r="B52" s="9">
        <v>884245</v>
      </c>
      <c r="C52" s="10" t="str">
        <f>VLOOKUP("*"&amp;TRIM(A52)&amp;"*", 'Sát nhập tỉnh'!A:B, 2, 0)</f>
        <v>Ninh Bình</v>
      </c>
      <c r="D52" s="13">
        <f t="shared" si="2"/>
        <v>8842.4500000000007</v>
      </c>
      <c r="E52" s="10">
        <f>VLOOKUP(A52, 'Dân số và diện tích từng tỉnh'!A:D, 4, 0)</f>
        <v>1042.6199999999999</v>
      </c>
      <c r="F52" s="10">
        <f t="shared" si="1"/>
        <v>9219315.2190000005</v>
      </c>
    </row>
    <row r="53" spans="1:6" ht="25.5" customHeight="1" x14ac:dyDescent="0.5">
      <c r="A53" s="8" t="s">
        <v>19</v>
      </c>
      <c r="B53" s="9">
        <v>925699</v>
      </c>
      <c r="C53" s="10" t="str">
        <f>VLOOKUP("*"&amp;TRIM(A53)&amp;"*", 'Sát nhập tỉnh'!A:B, 2, 0)</f>
        <v>Hưng Yên</v>
      </c>
      <c r="D53" s="13">
        <f t="shared" si="2"/>
        <v>9256.99</v>
      </c>
      <c r="E53" s="10">
        <f>VLOOKUP(A53, 'Dân số và diện tích từng tỉnh'!A:D, 4, 0)</f>
        <v>1333.42</v>
      </c>
      <c r="F53" s="10">
        <f t="shared" si="1"/>
        <v>12343455.605800001</v>
      </c>
    </row>
    <row r="54" spans="1:6" ht="25.5" customHeight="1" x14ac:dyDescent="0.5">
      <c r="A54" s="8" t="s">
        <v>1</v>
      </c>
      <c r="B54" s="9">
        <v>934604</v>
      </c>
      <c r="C54" s="10" t="str">
        <f>VLOOKUP("*"&amp;TRIM(A54)&amp;"*", 'Sát nhập tỉnh'!A:B, 2, 0)</f>
        <v>TP. Hồ Chí Minh</v>
      </c>
      <c r="D54" s="13">
        <f t="shared" si="2"/>
        <v>9346.0400000000009</v>
      </c>
      <c r="E54" s="10">
        <f>VLOOKUP(A54, 'Dân số và diện tích từng tỉnh'!A:D, 4, 0)</f>
        <v>1202.6400000000001</v>
      </c>
      <c r="F54" s="10">
        <f t="shared" si="1"/>
        <v>11239921.545600003</v>
      </c>
    </row>
    <row r="55" spans="1:6" ht="25.5" customHeight="1" x14ac:dyDescent="0.5">
      <c r="A55" s="8" t="s">
        <v>20</v>
      </c>
      <c r="B55" s="9">
        <v>942570</v>
      </c>
      <c r="C55" s="10" t="str">
        <f>VLOOKUP("*"&amp;TRIM(A55)&amp;"*", 'Sát nhập tỉnh'!A:B, 2, 0)</f>
        <v>TP. Hải Phòng</v>
      </c>
      <c r="D55" s="13">
        <f t="shared" si="2"/>
        <v>9425.7000000000007</v>
      </c>
      <c r="E55" s="10">
        <f>VLOOKUP(A55, 'Dân số và diện tích từng tỉnh'!A:D, 4, 0)</f>
        <v>1997.71</v>
      </c>
      <c r="F55" s="10">
        <f t="shared" si="1"/>
        <v>18829815.147000004</v>
      </c>
    </row>
    <row r="56" spans="1:6" ht="25.5" customHeight="1" x14ac:dyDescent="0.5">
      <c r="A56" s="8" t="s">
        <v>9</v>
      </c>
      <c r="B56" s="9">
        <v>959214</v>
      </c>
      <c r="C56" s="10" t="str">
        <f>VLOOKUP("*"&amp;TRIM(A56)&amp;"*", 'Sát nhập tỉnh'!A:B, 2, 0)</f>
        <v>Bắc Ninh</v>
      </c>
      <c r="D56" s="13">
        <f t="shared" si="2"/>
        <v>9592.14</v>
      </c>
      <c r="E56" s="10">
        <f>VLOOKUP(A56, 'Dân số và diện tích từng tỉnh'!A:D, 4, 0)</f>
        <v>1574.43</v>
      </c>
      <c r="F56" s="10">
        <f t="shared" si="1"/>
        <v>15102152.9802</v>
      </c>
    </row>
    <row r="57" spans="1:6" ht="25.5" customHeight="1" x14ac:dyDescent="0.5">
      <c r="A57" s="8" t="s">
        <v>53</v>
      </c>
      <c r="B57" s="9">
        <v>960284</v>
      </c>
      <c r="C57" s="10" t="str">
        <f>VLOOKUP("*"&amp;TRIM(A57)&amp;"*", 'Sát nhập tỉnh'!A:B, 2, 0)</f>
        <v>Phú Thọ</v>
      </c>
      <c r="D57" s="13">
        <f t="shared" si="2"/>
        <v>9602.84</v>
      </c>
      <c r="E57" s="10">
        <f>VLOOKUP(A57, 'Dân số và diện tích từng tỉnh'!A:D, 4, 0)</f>
        <v>1238.77</v>
      </c>
      <c r="F57" s="10">
        <f t="shared" si="1"/>
        <v>11895710.106799999</v>
      </c>
    </row>
    <row r="58" spans="1:6" ht="25.5" customHeight="1" x14ac:dyDescent="0.5">
      <c r="A58" s="8" t="s">
        <v>40</v>
      </c>
      <c r="B58" s="9">
        <v>980694</v>
      </c>
      <c r="C58" s="10" t="str">
        <f>VLOOKUP("*"&amp;TRIM(A58)&amp;"*", 'Sát nhập tỉnh'!A:B, 2, 0)</f>
        <v>Quảng Ninh</v>
      </c>
      <c r="D58" s="13">
        <f t="shared" si="2"/>
        <v>9806.94</v>
      </c>
      <c r="E58" s="10">
        <f>VLOOKUP(A58, 'Dân số và diện tích từng tỉnh'!A:D, 4, 0)</f>
        <v>1411.58</v>
      </c>
      <c r="F58" s="10">
        <f t="shared" si="1"/>
        <v>13843280.3652</v>
      </c>
    </row>
    <row r="59" spans="1:6" ht="25.5" customHeight="1" x14ac:dyDescent="0.5">
      <c r="A59" s="8" t="s">
        <v>56</v>
      </c>
      <c r="B59" s="9">
        <v>982888</v>
      </c>
      <c r="C59" s="10" t="str">
        <f>VLOOKUP("*"&amp;TRIM(A59)&amp;"*", 'Sát nhập tỉnh'!A:B, 2, 0)</f>
        <v>TP. Đà Nẵng</v>
      </c>
      <c r="D59" s="13">
        <f t="shared" si="2"/>
        <v>9828.8799999999992</v>
      </c>
      <c r="E59" s="10">
        <f>VLOOKUP(A59, 'Dân số và diện tích từng tỉnh'!A:D, 4, 0)</f>
        <v>1304.72</v>
      </c>
      <c r="F59" s="10">
        <f t="shared" si="1"/>
        <v>12823936.3136</v>
      </c>
    </row>
    <row r="60" spans="1:6" ht="25.5" customHeight="1" x14ac:dyDescent="0.5">
      <c r="A60" s="8" t="s">
        <v>59</v>
      </c>
      <c r="B60" s="9">
        <v>1013799</v>
      </c>
      <c r="C60" s="10" t="str">
        <f>VLOOKUP("*"&amp;TRIM(A60)&amp;"*", 'Sát nhập tỉnh'!A:B, 2, 0)</f>
        <v>Đồng Nai</v>
      </c>
      <c r="D60" s="13">
        <f t="shared" si="2"/>
        <v>10137.99</v>
      </c>
      <c r="E60" s="10">
        <f>VLOOKUP(A60, 'Dân số và diện tích từng tỉnh'!A:D, 4, 0)</f>
        <v>3415.96</v>
      </c>
      <c r="F60" s="10">
        <f t="shared" si="1"/>
        <v>34630968.3204</v>
      </c>
    </row>
    <row r="61" spans="1:6" ht="25.5" customHeight="1" x14ac:dyDescent="0.5">
      <c r="A61" s="8" t="s">
        <v>2</v>
      </c>
      <c r="B61" s="9">
        <v>1024279</v>
      </c>
      <c r="C61" s="10" t="str">
        <f>VLOOKUP("*"&amp;TRIM(A61)&amp;"*", 'Sát nhập tỉnh'!A:B, 2, 0)</f>
        <v>TP. Hồ Chí Minh</v>
      </c>
      <c r="D61" s="13">
        <f t="shared" si="2"/>
        <v>10242.790000000001</v>
      </c>
      <c r="E61" s="10">
        <f>VLOOKUP(A61, 'Dân số và diện tích từng tỉnh'!A:D, 4, 0)</f>
        <v>2910.32</v>
      </c>
      <c r="F61" s="10">
        <f t="shared" si="1"/>
        <v>29809796.592800003</v>
      </c>
    </row>
    <row r="62" spans="1:6" ht="25.5" customHeight="1" x14ac:dyDescent="0.5">
      <c r="A62" s="8" t="s">
        <v>21</v>
      </c>
      <c r="B62" s="9">
        <v>1029198</v>
      </c>
      <c r="C62" s="10" t="str">
        <f>VLOOKUP("*"&amp;TRIM(A62)&amp;"*", 'Sát nhập tỉnh'!A:B, 2, 0)</f>
        <v>TP. Hải Phòng</v>
      </c>
      <c r="D62" s="13">
        <f t="shared" si="2"/>
        <v>10291.98</v>
      </c>
      <c r="E62" s="10">
        <f>VLOOKUP(A62, 'Dân số và diện tích từng tỉnh'!A:D, 4, 0)</f>
        <v>2152.17</v>
      </c>
      <c r="F62" s="10">
        <f t="shared" si="1"/>
        <v>22150090.5966</v>
      </c>
    </row>
    <row r="63" spans="1:6" ht="25.5" customHeight="1" x14ac:dyDescent="0.5">
      <c r="A63" s="8" t="s">
        <v>48</v>
      </c>
      <c r="B63" s="9">
        <v>1068068</v>
      </c>
      <c r="C63" s="10" t="str">
        <f>VLOOKUP("*"&amp;TRIM(A63)&amp;"*", 'Sát nhập tỉnh'!A:B, 2, 0)</f>
        <v>TP. Hồ Chí Minh</v>
      </c>
      <c r="D63" s="13">
        <f t="shared" si="2"/>
        <v>10680.68</v>
      </c>
      <c r="E63" s="10">
        <f>VLOOKUP(A63, 'Dân số và diện tích từng tỉnh'!A:D, 4, 0)</f>
        <v>9690.83</v>
      </c>
      <c r="F63" s="10">
        <f t="shared" si="1"/>
        <v>103504654.1644</v>
      </c>
    </row>
    <row r="64" spans="1:6" ht="25.5" customHeight="1" x14ac:dyDescent="0.5">
      <c r="A64" s="8" t="s">
        <v>17</v>
      </c>
      <c r="B64" s="9">
        <v>1213315</v>
      </c>
      <c r="C64" s="10" t="str">
        <f>VLOOKUP("*"&amp;TRIM(A64)&amp;"*", 'Sát nhập tỉnh'!A:B, 2, 0)</f>
        <v>TP. Hà Nội</v>
      </c>
      <c r="D64" s="13">
        <f t="shared" si="2"/>
        <v>12133.15</v>
      </c>
      <c r="E64" s="10">
        <f>VLOOKUP(A64, 'Dân số và diện tích từng tỉnh'!A:D, 4, 0)</f>
        <v>8857.5300000000007</v>
      </c>
      <c r="F64" s="10">
        <f t="shared" si="1"/>
        <v>107469740.11950001</v>
      </c>
    </row>
  </sheetData>
  <autoFilter ref="A1:D64" xr:uid="{80E0C976-974B-45AB-980E-D491DF387DFD}">
    <sortState xmlns:xlrd2="http://schemas.microsoft.com/office/spreadsheetml/2017/richdata2" ref="A2:D64">
      <sortCondition ref="D1:D6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0050-3816-4FF3-B548-D41A0F2160A0}">
  <dimension ref="A1:D64"/>
  <sheetViews>
    <sheetView workbookViewId="0">
      <selection activeCell="D2" sqref="D2"/>
    </sheetView>
  </sheetViews>
  <sheetFormatPr defaultColWidth="36.06640625" defaultRowHeight="27.4" customHeight="1" x14ac:dyDescent="0.5"/>
  <cols>
    <col min="1" max="1" width="36.06640625" style="3"/>
    <col min="2" max="2" width="36.06640625" style="4"/>
    <col min="3" max="3" width="36.06640625" style="2"/>
    <col min="4" max="16384" width="36.06640625" style="1"/>
  </cols>
  <sheetData>
    <row r="1" spans="1:4" ht="62.25" customHeight="1" x14ac:dyDescent="0.5">
      <c r="A1" s="17" t="s">
        <v>106</v>
      </c>
      <c r="B1" s="18" t="s">
        <v>117</v>
      </c>
      <c r="C1" s="16" t="s">
        <v>113</v>
      </c>
      <c r="D1" s="16" t="s">
        <v>107</v>
      </c>
    </row>
    <row r="2" spans="1:4" ht="27.4" customHeight="1" x14ac:dyDescent="0.5">
      <c r="A2" s="8" t="s">
        <v>8</v>
      </c>
      <c r="B2" s="14">
        <v>89229</v>
      </c>
      <c r="C2" s="13">
        <f t="shared" ref="C2:C33" si="0">B2/10</f>
        <v>8922.9</v>
      </c>
      <c r="D2" s="10" t="str">
        <f>VLOOKUP("*"&amp;TRIM(A2)&amp;"*", 'Sát nhập tỉnh'!A:B, 2, 0)</f>
        <v>Thái Nguyên</v>
      </c>
    </row>
    <row r="3" spans="1:4" ht="27.4" customHeight="1" x14ac:dyDescent="0.5">
      <c r="A3" s="8" t="s">
        <v>26</v>
      </c>
      <c r="B3" s="14">
        <v>89394</v>
      </c>
      <c r="C3" s="13">
        <f t="shared" si="0"/>
        <v>8939.4</v>
      </c>
      <c r="D3" s="10" t="str">
        <f>VLOOKUP("*"&amp;TRIM(A3)&amp;"*", 'Sát nhập tỉnh'!A:B, 2, 0)</f>
        <v>Lai Châu</v>
      </c>
    </row>
    <row r="4" spans="1:4" ht="27.4" customHeight="1" x14ac:dyDescent="0.5">
      <c r="A4" s="8" t="s">
        <v>11</v>
      </c>
      <c r="B4" s="14">
        <v>110947</v>
      </c>
      <c r="C4" s="13">
        <f t="shared" si="0"/>
        <v>11094.7</v>
      </c>
      <c r="D4" s="10" t="str">
        <f>VLOOKUP("*"&amp;TRIM(A4)&amp;"*", 'Sát nhập tỉnh'!A:B, 2, 0)</f>
        <v>Cao Bằng</v>
      </c>
    </row>
    <row r="5" spans="1:4" ht="27.4" customHeight="1" x14ac:dyDescent="0.5">
      <c r="A5" s="8" t="s">
        <v>15</v>
      </c>
      <c r="B5" s="14">
        <v>185931</v>
      </c>
      <c r="C5" s="13">
        <f t="shared" si="0"/>
        <v>18593.099999999999</v>
      </c>
      <c r="D5" s="10" t="str">
        <f>VLOOKUP("*"&amp;TRIM(A5)&amp;"*", 'Sát nhập tỉnh'!A:B, 2, 0)</f>
        <v>Tuyên Quang</v>
      </c>
    </row>
    <row r="6" spans="1:4" ht="27.4" customHeight="1" x14ac:dyDescent="0.5">
      <c r="A6" s="8" t="s">
        <v>61</v>
      </c>
      <c r="B6" s="14">
        <v>211157</v>
      </c>
      <c r="C6" s="13">
        <f t="shared" si="0"/>
        <v>21115.7</v>
      </c>
      <c r="D6" s="10" t="str">
        <f>VLOOKUP("*"&amp;TRIM(A6)&amp;"*", 'Sát nhập tỉnh'!A:B, 2, 0)</f>
        <v>Phú Thọ</v>
      </c>
    </row>
    <row r="7" spans="1:4" ht="27.4" customHeight="1" x14ac:dyDescent="0.5">
      <c r="A7" s="8" t="s">
        <v>55</v>
      </c>
      <c r="B7" s="14">
        <v>243139</v>
      </c>
      <c r="C7" s="13">
        <f t="shared" si="0"/>
        <v>24313.9</v>
      </c>
      <c r="D7" s="10" t="str">
        <f>VLOOKUP("*"&amp;TRIM(A7)&amp;"*", 'Sát nhập tỉnh'!A:B, 2, 0)</f>
        <v>Điện Biên</v>
      </c>
    </row>
    <row r="8" spans="1:4" ht="27.4" customHeight="1" x14ac:dyDescent="0.5">
      <c r="A8" s="8" t="s">
        <v>58</v>
      </c>
      <c r="B8" s="14">
        <v>250173</v>
      </c>
      <c r="C8" s="13">
        <f t="shared" si="0"/>
        <v>25017.3</v>
      </c>
      <c r="D8" s="10" t="str">
        <f>VLOOKUP("*"&amp;TRIM(A8)&amp;"*", 'Sát nhập tỉnh'!A:B, 2, 0)</f>
        <v>Lâm Đồng</v>
      </c>
    </row>
    <row r="9" spans="1:4" ht="27.4" customHeight="1" x14ac:dyDescent="0.5">
      <c r="A9" s="8" t="s">
        <v>54</v>
      </c>
      <c r="B9" s="14">
        <v>289996</v>
      </c>
      <c r="C9" s="13">
        <f t="shared" si="0"/>
        <v>28999.599999999999</v>
      </c>
      <c r="D9" s="10" t="str">
        <f>VLOOKUP("*"&amp;TRIM(A9)&amp;"*", 'Sát nhập tỉnh'!A:B, 2, 0)</f>
        <v>Lào Cai</v>
      </c>
    </row>
    <row r="10" spans="1:4" ht="27.4" customHeight="1" x14ac:dyDescent="0.5">
      <c r="A10" s="8" t="s">
        <v>28</v>
      </c>
      <c r="B10" s="14">
        <v>305882</v>
      </c>
      <c r="C10" s="13">
        <f t="shared" si="0"/>
        <v>30588.2</v>
      </c>
      <c r="D10" s="10" t="str">
        <f>VLOOKUP("*"&amp;TRIM(A10)&amp;"*", 'Sát nhập tỉnh'!A:B, 2, 0)</f>
        <v>Lào Cai</v>
      </c>
    </row>
    <row r="11" spans="1:4" ht="27.4" customHeight="1" x14ac:dyDescent="0.5">
      <c r="A11" s="8" t="s">
        <v>34</v>
      </c>
      <c r="B11" s="14">
        <v>342325</v>
      </c>
      <c r="C11" s="13">
        <f t="shared" si="0"/>
        <v>34232.5</v>
      </c>
      <c r="D11" s="10" t="str">
        <f>VLOOKUP("*"&amp;TRIM(A11)&amp;"*", 'Sát nhập tỉnh'!A:B, 2, 0)</f>
        <v>Khánh Hoà</v>
      </c>
    </row>
    <row r="12" spans="1:4" ht="27.4" customHeight="1" x14ac:dyDescent="0.5">
      <c r="A12" s="8" t="s">
        <v>25</v>
      </c>
      <c r="B12" s="14">
        <v>347953</v>
      </c>
      <c r="C12" s="13">
        <f t="shared" si="0"/>
        <v>34795.300000000003</v>
      </c>
      <c r="D12" s="10" t="str">
        <f>VLOOKUP("*"&amp;TRIM(A12)&amp;"*", 'Sát nhập tỉnh'!A:B, 2, 0)</f>
        <v>Quảng Ngãi</v>
      </c>
    </row>
    <row r="13" spans="1:4" ht="27.4" customHeight="1" x14ac:dyDescent="0.5">
      <c r="A13" s="8" t="s">
        <v>50</v>
      </c>
      <c r="B13" s="14">
        <v>350542</v>
      </c>
      <c r="C13" s="13">
        <f t="shared" si="0"/>
        <v>35054.199999999997</v>
      </c>
      <c r="D13" s="10" t="str">
        <f>VLOOKUP("*"&amp;TRIM(A13)&amp;"*", 'Sát nhập tỉnh'!A:B, 2, 0)</f>
        <v>Tuyên Quang</v>
      </c>
    </row>
    <row r="14" spans="1:4" ht="27.4" customHeight="1" x14ac:dyDescent="0.5">
      <c r="A14" s="8" t="s">
        <v>43</v>
      </c>
      <c r="B14" s="14">
        <v>376024</v>
      </c>
      <c r="C14" s="13">
        <f t="shared" si="0"/>
        <v>37602.400000000001</v>
      </c>
      <c r="D14" s="10" t="str">
        <f>VLOOKUP("*"&amp;TRIM(A14)&amp;"*", 'Sát nhập tỉnh'!A:B, 2, 0)</f>
        <v>Sơn La</v>
      </c>
    </row>
    <row r="15" spans="1:4" ht="27.4" customHeight="1" x14ac:dyDescent="0.5">
      <c r="A15" s="8" t="s">
        <v>37</v>
      </c>
      <c r="B15" s="14">
        <v>388201</v>
      </c>
      <c r="C15" s="13">
        <f t="shared" si="0"/>
        <v>38820.1</v>
      </c>
      <c r="D15" s="10" t="str">
        <f>VLOOKUP("*"&amp;TRIM(A15)&amp;"*", 'Sát nhập tỉnh'!A:B, 2, 0)</f>
        <v>Quảng Trị</v>
      </c>
    </row>
    <row r="16" spans="1:4" ht="27.4" customHeight="1" x14ac:dyDescent="0.5">
      <c r="A16" s="8" t="s">
        <v>30</v>
      </c>
      <c r="B16" s="14">
        <v>412090</v>
      </c>
      <c r="C16" s="13">
        <f t="shared" si="0"/>
        <v>41209</v>
      </c>
      <c r="D16" s="10" t="str">
        <f>VLOOKUP("*"&amp;TRIM(A16)&amp;"*", 'Sát nhập tỉnh'!A:B, 2, 0)</f>
        <v>Lạng Sơn</v>
      </c>
    </row>
    <row r="17" spans="1:4" ht="27.4" customHeight="1" x14ac:dyDescent="0.5">
      <c r="A17" s="8" t="s">
        <v>38</v>
      </c>
      <c r="B17" s="14">
        <v>451105</v>
      </c>
      <c r="C17" s="13">
        <f t="shared" si="0"/>
        <v>45110.5</v>
      </c>
      <c r="D17" s="10" t="str">
        <f>VLOOKUP("*"&amp;TRIM(A17)&amp;"*", 'Sát nhập tỉnh'!A:B, 2, 0)</f>
        <v>TP. Đà Nẵng</v>
      </c>
    </row>
    <row r="18" spans="1:4" ht="27.4" customHeight="1" x14ac:dyDescent="0.5">
      <c r="A18" s="8" t="s">
        <v>16</v>
      </c>
      <c r="B18" s="14">
        <v>459981</v>
      </c>
      <c r="C18" s="13">
        <f t="shared" si="0"/>
        <v>45998.1</v>
      </c>
      <c r="D18" s="10" t="str">
        <f>VLOOKUP("*"&amp;TRIM(A18)&amp;"*", 'Sát nhập tỉnh'!A:B, 2, 0)</f>
        <v>Ninh Bình</v>
      </c>
    </row>
    <row r="19" spans="1:4" ht="27.4" customHeight="1" x14ac:dyDescent="0.5">
      <c r="A19" s="8" t="s">
        <v>49</v>
      </c>
      <c r="B19" s="14">
        <v>467765</v>
      </c>
      <c r="C19" s="13">
        <f t="shared" si="0"/>
        <v>46776.5</v>
      </c>
      <c r="D19" s="10" t="str">
        <f>VLOOKUP("*"&amp;TRIM(A19)&amp;"*", 'Sát nhập tỉnh'!A:B, 2, 0)</f>
        <v>Vĩnh Long</v>
      </c>
    </row>
    <row r="20" spans="1:4" ht="27.4" customHeight="1" x14ac:dyDescent="0.5">
      <c r="A20" s="8" t="s">
        <v>41</v>
      </c>
      <c r="B20" s="14">
        <v>474414</v>
      </c>
      <c r="C20" s="13">
        <f t="shared" si="0"/>
        <v>47441.4</v>
      </c>
      <c r="D20" s="10" t="str">
        <f>VLOOKUP("*"&amp;TRIM(A20)&amp;"*", 'Sát nhập tỉnh'!A:B, 2, 0)</f>
        <v>Quảng Trị</v>
      </c>
    </row>
    <row r="21" spans="1:4" ht="27.4" customHeight="1" x14ac:dyDescent="0.5">
      <c r="A21" s="8" t="s">
        <v>18</v>
      </c>
      <c r="B21" s="14">
        <v>506632</v>
      </c>
      <c r="C21" s="13">
        <f t="shared" si="0"/>
        <v>50663.199999999997</v>
      </c>
      <c r="D21" s="10" t="str">
        <f>VLOOKUP("*"&amp;TRIM(A21)&amp;"*", 'Sát nhập tỉnh'!A:B, 2, 0)</f>
        <v>Hà Tĩnh</v>
      </c>
    </row>
    <row r="22" spans="1:4" ht="27.4" customHeight="1" x14ac:dyDescent="0.5">
      <c r="A22" s="8" t="s">
        <v>36</v>
      </c>
      <c r="B22" s="14">
        <v>555820</v>
      </c>
      <c r="C22" s="13">
        <f t="shared" si="0"/>
        <v>55582</v>
      </c>
      <c r="D22" s="10" t="str">
        <f>VLOOKUP("*"&amp;TRIM(A22)&amp;"*", 'Sát nhập tỉnh'!A:B, 2, 0)</f>
        <v>Đắk Lắk</v>
      </c>
    </row>
    <row r="23" spans="1:4" ht="27.4" customHeight="1" x14ac:dyDescent="0.5">
      <c r="A23" s="8" t="s">
        <v>7</v>
      </c>
      <c r="B23" s="14">
        <v>558857</v>
      </c>
      <c r="C23" s="13">
        <f t="shared" si="0"/>
        <v>55885.7</v>
      </c>
      <c r="D23" s="10" t="str">
        <f>VLOOKUP("*"&amp;TRIM(A23)&amp;"*", 'Sát nhập tỉnh'!A:B, 2, 0)</f>
        <v>Bắc Ninh</v>
      </c>
    </row>
    <row r="24" spans="1:4" ht="27.4" customHeight="1" x14ac:dyDescent="0.5">
      <c r="A24" s="8" t="s">
        <v>35</v>
      </c>
      <c r="B24" s="14">
        <v>576028</v>
      </c>
      <c r="C24" s="13">
        <f t="shared" si="0"/>
        <v>57602.8</v>
      </c>
      <c r="D24" s="10" t="str">
        <f>VLOOKUP("*"&amp;TRIM(A24)&amp;"*", 'Sát nhập tỉnh'!A:B, 2, 0)</f>
        <v>Phú Thọ</v>
      </c>
    </row>
    <row r="25" spans="1:4" ht="27.4" customHeight="1" x14ac:dyDescent="0.5">
      <c r="A25" s="8" t="s">
        <v>46</v>
      </c>
      <c r="B25" s="14">
        <v>603825</v>
      </c>
      <c r="C25" s="13">
        <f t="shared" si="0"/>
        <v>60382.5</v>
      </c>
      <c r="D25" s="10" t="str">
        <f>VLOOKUP("*"&amp;TRIM(A25)&amp;"*", 'Sát nhập tỉnh'!A:B, 2, 0)</f>
        <v>TP. Huế</v>
      </c>
    </row>
    <row r="26" spans="1:4" ht="27.4" customHeight="1" x14ac:dyDescent="0.5">
      <c r="A26" s="8" t="s">
        <v>22</v>
      </c>
      <c r="B26" s="14">
        <v>603945</v>
      </c>
      <c r="C26" s="13">
        <f t="shared" si="0"/>
        <v>60394.5</v>
      </c>
      <c r="D26" s="10" t="str">
        <f>VLOOKUP("*"&amp;TRIM(A26)&amp;"*", 'Sát nhập tỉnh'!A:B, 2, 0)</f>
        <v>TP. Cần Thơ</v>
      </c>
    </row>
    <row r="27" spans="1:4" ht="27.4" customHeight="1" x14ac:dyDescent="0.5">
      <c r="A27" s="8" t="s">
        <v>19</v>
      </c>
      <c r="B27" s="14">
        <v>630622</v>
      </c>
      <c r="C27" s="13">
        <f t="shared" si="0"/>
        <v>63062.2</v>
      </c>
      <c r="D27" s="10" t="str">
        <f>VLOOKUP("*"&amp;TRIM(A27)&amp;"*", 'Sát nhập tỉnh'!A:B, 2, 0)</f>
        <v>Hưng Yên</v>
      </c>
    </row>
    <row r="28" spans="1:4" ht="27.4" customHeight="1" x14ac:dyDescent="0.5">
      <c r="A28" s="8" t="s">
        <v>10</v>
      </c>
      <c r="B28" s="14">
        <v>694317</v>
      </c>
      <c r="C28" s="13">
        <f t="shared" si="0"/>
        <v>69431.7</v>
      </c>
      <c r="D28" s="10" t="str">
        <f>VLOOKUP("*"&amp;TRIM(A28)&amp;"*", 'Sát nhập tỉnh'!A:B, 2, 0)</f>
        <v>Vĩnh Long</v>
      </c>
    </row>
    <row r="29" spans="1:4" ht="27.4" customHeight="1" x14ac:dyDescent="0.5">
      <c r="A29" s="8" t="s">
        <v>45</v>
      </c>
      <c r="B29" s="14">
        <v>701017</v>
      </c>
      <c r="C29" s="13">
        <f t="shared" si="0"/>
        <v>70101.7</v>
      </c>
      <c r="D29" s="10" t="str">
        <f>VLOOKUP("*"&amp;TRIM(A29)&amp;"*", 'Sát nhập tỉnh'!A:B, 2, 0)</f>
        <v>Thái Nguyên</v>
      </c>
    </row>
    <row r="30" spans="1:4" ht="27.4" customHeight="1" x14ac:dyDescent="0.5">
      <c r="A30" s="8" t="s">
        <v>44</v>
      </c>
      <c r="B30" s="14">
        <v>701101</v>
      </c>
      <c r="C30" s="13">
        <f t="shared" si="0"/>
        <v>70110.100000000006</v>
      </c>
      <c r="D30" s="10" t="str">
        <f>VLOOKUP("*"&amp;TRIM(A30)&amp;"*", 'Sát nhập tỉnh'!A:B, 2, 0)</f>
        <v>Hưng Yên</v>
      </c>
    </row>
    <row r="31" spans="1:4" ht="27.4" customHeight="1" x14ac:dyDescent="0.5">
      <c r="A31" s="8" t="s">
        <v>52</v>
      </c>
      <c r="B31" s="14">
        <v>714617</v>
      </c>
      <c r="C31" s="13">
        <f t="shared" si="0"/>
        <v>71461.7</v>
      </c>
      <c r="D31" s="10" t="str">
        <f>VLOOKUP("*"&amp;TRIM(A31)&amp;"*", 'Sát nhập tỉnh'!A:B, 2, 0)</f>
        <v>Vĩnh Long</v>
      </c>
    </row>
    <row r="32" spans="1:4" ht="27.4" customHeight="1" x14ac:dyDescent="0.5">
      <c r="A32" s="8" t="s">
        <v>31</v>
      </c>
      <c r="B32" s="14">
        <v>742688</v>
      </c>
      <c r="C32" s="13">
        <f t="shared" si="0"/>
        <v>74268.800000000003</v>
      </c>
      <c r="D32" s="10" t="str">
        <f>VLOOKUP("*"&amp;TRIM(A32)&amp;"*", 'Sát nhập tỉnh'!A:B, 2, 0)</f>
        <v>Ninh Bình</v>
      </c>
    </row>
    <row r="33" spans="1:4" ht="27.4" customHeight="1" x14ac:dyDescent="0.5">
      <c r="A33" s="8" t="s">
        <v>29</v>
      </c>
      <c r="B33" s="14">
        <v>756575</v>
      </c>
      <c r="C33" s="13">
        <f t="shared" si="0"/>
        <v>75657.5</v>
      </c>
      <c r="D33" s="10" t="str">
        <f>VLOOKUP("*"&amp;TRIM(A33)&amp;"*", 'Sát nhập tỉnh'!A:B, 2, 0)</f>
        <v>Lâm Đồng</v>
      </c>
    </row>
    <row r="34" spans="1:4" ht="27.4" customHeight="1" x14ac:dyDescent="0.5">
      <c r="A34" s="8" t="s">
        <v>39</v>
      </c>
      <c r="B34" s="14">
        <v>766151</v>
      </c>
      <c r="C34" s="13">
        <f t="shared" ref="C34:C64" si="1">B34/10</f>
        <v>76615.100000000006</v>
      </c>
      <c r="D34" s="10" t="str">
        <f>VLOOKUP("*"&amp;TRIM(A34)&amp;"*", 'Sát nhập tỉnh'!A:B, 2, 0)</f>
        <v>Quảng Ngãi</v>
      </c>
    </row>
    <row r="35" spans="1:4" ht="27.4" customHeight="1" x14ac:dyDescent="0.5">
      <c r="A35" s="8" t="s">
        <v>14</v>
      </c>
      <c r="B35" s="14">
        <v>768915</v>
      </c>
      <c r="C35" s="13">
        <f t="shared" si="1"/>
        <v>76891.5</v>
      </c>
      <c r="D35" s="10" t="str">
        <f>VLOOKUP("*"&amp;TRIM(A35)&amp;"*", 'Sát nhập tỉnh'!A:B, 2, 0)</f>
        <v>Gia Lai</v>
      </c>
    </row>
    <row r="36" spans="1:4" ht="27.4" customHeight="1" x14ac:dyDescent="0.5">
      <c r="A36" s="8" t="s">
        <v>33</v>
      </c>
      <c r="B36" s="14">
        <v>772405</v>
      </c>
      <c r="C36" s="13">
        <f t="shared" si="1"/>
        <v>77240.5</v>
      </c>
      <c r="D36" s="10" t="str">
        <f>VLOOKUP("*"&amp;TRIM(A36)&amp;"*", 'Sát nhập tỉnh'!A:B, 2, 0)</f>
        <v>Ninh Bình</v>
      </c>
    </row>
    <row r="37" spans="1:4" ht="27.4" customHeight="1" x14ac:dyDescent="0.5">
      <c r="A37" s="8" t="s">
        <v>3</v>
      </c>
      <c r="B37" s="14">
        <v>786917</v>
      </c>
      <c r="C37" s="13">
        <f t="shared" si="1"/>
        <v>78691.7</v>
      </c>
      <c r="D37" s="10" t="str">
        <f>VLOOKUP("*"&amp;TRIM(A37)&amp;"*", 'Sát nhập tỉnh'!A:B, 2, 0)</f>
        <v>Đồng Nai</v>
      </c>
    </row>
    <row r="38" spans="1:4" ht="27.4" customHeight="1" x14ac:dyDescent="0.5">
      <c r="A38" s="8" t="s">
        <v>9</v>
      </c>
      <c r="B38" s="14">
        <v>824608</v>
      </c>
      <c r="C38" s="13">
        <f t="shared" si="1"/>
        <v>82460.800000000003</v>
      </c>
      <c r="D38" s="10" t="str">
        <f>VLOOKUP("*"&amp;TRIM(A38)&amp;"*", 'Sát nhập tỉnh'!A:B, 2, 0)</f>
        <v>Bắc Ninh</v>
      </c>
    </row>
    <row r="39" spans="1:4" ht="27.4" customHeight="1" x14ac:dyDescent="0.5">
      <c r="A39" s="8" t="s">
        <v>53</v>
      </c>
      <c r="B39" s="14">
        <v>846279</v>
      </c>
      <c r="C39" s="13">
        <f t="shared" si="1"/>
        <v>84627.9</v>
      </c>
      <c r="D39" s="10" t="str">
        <f>VLOOKUP("*"&amp;TRIM(A39)&amp;"*", 'Sát nhập tỉnh'!A:B, 2, 0)</f>
        <v>Phú Thọ</v>
      </c>
    </row>
    <row r="40" spans="1:4" ht="27.4" customHeight="1" x14ac:dyDescent="0.5">
      <c r="A40" s="8" t="s">
        <v>20</v>
      </c>
      <c r="B40" s="14">
        <v>888496</v>
      </c>
      <c r="C40" s="13">
        <f t="shared" si="1"/>
        <v>88849.600000000006</v>
      </c>
      <c r="D40" s="10" t="str">
        <f>VLOOKUP("*"&amp;TRIM(A40)&amp;"*", 'Sát nhập tỉnh'!A:B, 2, 0)</f>
        <v>TP. Hải Phòng</v>
      </c>
    </row>
    <row r="41" spans="1:4" ht="27.4" customHeight="1" x14ac:dyDescent="0.5">
      <c r="A41" s="8" t="s">
        <v>6</v>
      </c>
      <c r="B41" s="14">
        <v>932075</v>
      </c>
      <c r="C41" s="13">
        <f t="shared" si="1"/>
        <v>93207.5</v>
      </c>
      <c r="D41" s="10" t="str">
        <f>VLOOKUP("*"&amp;TRIM(A41)&amp;"*", 'Sát nhập tỉnh'!A:B, 2, 0)</f>
        <v>Cà Mau</v>
      </c>
    </row>
    <row r="42" spans="1:4" ht="27.4" customHeight="1" x14ac:dyDescent="0.5">
      <c r="A42" s="8" t="s">
        <v>12</v>
      </c>
      <c r="B42" s="14">
        <v>949375</v>
      </c>
      <c r="C42" s="13">
        <f t="shared" si="1"/>
        <v>94937.5</v>
      </c>
      <c r="D42" s="10" t="str">
        <f>VLOOKUP("*"&amp;TRIM(A42)&amp;"*", 'Sát nhập tỉnh'!A:B, 2, 0)</f>
        <v>Cà Mau</v>
      </c>
    </row>
    <row r="43" spans="1:4" ht="27.4" customHeight="1" x14ac:dyDescent="0.5">
      <c r="A43" s="8" t="s">
        <v>27</v>
      </c>
      <c r="B43" s="14">
        <v>987135</v>
      </c>
      <c r="C43" s="13">
        <f t="shared" si="1"/>
        <v>98713.5</v>
      </c>
      <c r="D43" s="10" t="str">
        <f>VLOOKUP("*"&amp;TRIM(A43)&amp;"*", 'Sát nhập tỉnh'!A:B, 2, 0)</f>
        <v>Tây Ninh</v>
      </c>
    </row>
    <row r="44" spans="1:4" ht="27.4" customHeight="1" x14ac:dyDescent="0.5">
      <c r="A44" s="8" t="s">
        <v>47</v>
      </c>
      <c r="B44" s="14">
        <v>990458</v>
      </c>
      <c r="C44" s="13">
        <f t="shared" si="1"/>
        <v>99045.8</v>
      </c>
      <c r="D44" s="10" t="str">
        <f>VLOOKUP("*"&amp;TRIM(A44)&amp;"*", 'Sát nhập tỉnh'!A:B, 2, 0)</f>
        <v>Đồng Tháp</v>
      </c>
    </row>
    <row r="45" spans="1:4" ht="27.4" customHeight="1" x14ac:dyDescent="0.5">
      <c r="A45" s="8" t="s">
        <v>1</v>
      </c>
      <c r="B45" s="14">
        <v>1083905</v>
      </c>
      <c r="C45" s="13">
        <f t="shared" si="1"/>
        <v>108390.5</v>
      </c>
      <c r="D45" s="10" t="str">
        <f>VLOOKUP("*"&amp;TRIM(A45)&amp;"*", 'Sát nhập tỉnh'!A:B, 2, 0)</f>
        <v>TP. Hồ Chí Minh</v>
      </c>
    </row>
    <row r="46" spans="1:4" ht="27.4" customHeight="1" x14ac:dyDescent="0.5">
      <c r="A46" s="8" t="s">
        <v>57</v>
      </c>
      <c r="B46" s="14">
        <v>1088330</v>
      </c>
      <c r="C46" s="13">
        <f t="shared" si="1"/>
        <v>108833</v>
      </c>
      <c r="D46" s="10" t="str">
        <f>VLOOKUP("*"&amp;TRIM(A46)&amp;"*", 'Sát nhập tỉnh'!A:B, 2, 0)</f>
        <v>Đắk Lắk</v>
      </c>
    </row>
    <row r="47" spans="1:4" ht="27.4" customHeight="1" x14ac:dyDescent="0.5">
      <c r="A47" s="8" t="s">
        <v>4</v>
      </c>
      <c r="B47" s="14">
        <v>1103064</v>
      </c>
      <c r="C47" s="13">
        <f t="shared" si="1"/>
        <v>110306.4</v>
      </c>
      <c r="D47" s="10" t="str">
        <f>VLOOKUP("*"&amp;TRIM(A47)&amp;"*", 'Sát nhập tỉnh'!A:B, 2, 0)</f>
        <v>Lâm Đồng</v>
      </c>
    </row>
    <row r="48" spans="1:4" ht="27.4" customHeight="1" x14ac:dyDescent="0.5">
      <c r="A48" s="8" t="s">
        <v>42</v>
      </c>
      <c r="B48" s="14">
        <v>1126649</v>
      </c>
      <c r="C48" s="13">
        <f t="shared" si="1"/>
        <v>112664.9</v>
      </c>
      <c r="D48" s="10" t="str">
        <f>VLOOKUP("*"&amp;TRIM(A48)&amp;"*", 'Sát nhập tỉnh'!A:B, 2, 0)</f>
        <v>TP. Cần Thơ</v>
      </c>
    </row>
    <row r="49" spans="1:4" ht="27.4" customHeight="1" x14ac:dyDescent="0.5">
      <c r="A49" s="8" t="s">
        <v>51</v>
      </c>
      <c r="B49" s="14">
        <v>1130617</v>
      </c>
      <c r="C49" s="13">
        <f t="shared" si="1"/>
        <v>113061.7</v>
      </c>
      <c r="D49" s="10" t="str">
        <f>VLOOKUP("*"&amp;TRIM(A49)&amp;"*", 'Sát nhập tỉnh'!A:B, 2, 0)</f>
        <v>Tây Ninh</v>
      </c>
    </row>
    <row r="50" spans="1:4" ht="27.4" customHeight="1" x14ac:dyDescent="0.5">
      <c r="A50" s="8" t="s">
        <v>23</v>
      </c>
      <c r="B50" s="14">
        <v>1136337</v>
      </c>
      <c r="C50" s="13">
        <f t="shared" si="1"/>
        <v>113633.7</v>
      </c>
      <c r="D50" s="10" t="str">
        <f>VLOOKUP("*"&amp;TRIM(A50)&amp;"*", 'Sát nhập tỉnh'!A:B, 2, 0)</f>
        <v>Khánh Hoà</v>
      </c>
    </row>
    <row r="51" spans="1:4" ht="27.4" customHeight="1" x14ac:dyDescent="0.5">
      <c r="A51" s="8" t="s">
        <v>5</v>
      </c>
      <c r="B51" s="14">
        <v>1136628</v>
      </c>
      <c r="C51" s="13">
        <f t="shared" si="1"/>
        <v>113662.8</v>
      </c>
      <c r="D51" s="10" t="str">
        <f>VLOOKUP("*"&amp;TRIM(A51)&amp;"*", 'Sát nhập tỉnh'!A:B, 2, 0)</f>
        <v>Gia Lai</v>
      </c>
    </row>
    <row r="52" spans="1:4" ht="27.4" customHeight="1" x14ac:dyDescent="0.5">
      <c r="A52" s="8" t="s">
        <v>56</v>
      </c>
      <c r="B52" s="14">
        <v>1223771</v>
      </c>
      <c r="C52" s="13">
        <f t="shared" si="1"/>
        <v>122377.1</v>
      </c>
      <c r="D52" s="10" t="str">
        <f>VLOOKUP("*"&amp;TRIM(A52)&amp;"*", 'Sát nhập tỉnh'!A:B, 2, 0)</f>
        <v>TP. Đà Nẵng</v>
      </c>
    </row>
    <row r="53" spans="1:4" ht="27.4" customHeight="1" x14ac:dyDescent="0.5">
      <c r="A53" s="8" t="s">
        <v>13</v>
      </c>
      <c r="B53" s="14">
        <v>1234830</v>
      </c>
      <c r="C53" s="13">
        <f t="shared" si="1"/>
        <v>123483</v>
      </c>
      <c r="D53" s="10" t="str">
        <f>VLOOKUP("*"&amp;TRIM(A53)&amp;"*", 'Sát nhập tỉnh'!A:B, 2, 0)</f>
        <v>TP. Cần Thơ</v>
      </c>
    </row>
    <row r="54" spans="1:4" ht="27.4" customHeight="1" x14ac:dyDescent="0.5">
      <c r="A54" s="8" t="s">
        <v>32</v>
      </c>
      <c r="B54" s="14">
        <v>1306592</v>
      </c>
      <c r="C54" s="13">
        <f t="shared" si="1"/>
        <v>130659.2</v>
      </c>
      <c r="D54" s="10" t="str">
        <f>VLOOKUP("*"&amp;TRIM(A54)&amp;"*", 'Sát nhập tỉnh'!A:B, 2, 0)</f>
        <v>Nghệ An</v>
      </c>
    </row>
    <row r="55" spans="1:4" ht="27.4" customHeight="1" x14ac:dyDescent="0.5">
      <c r="A55" s="8" t="s">
        <v>60</v>
      </c>
      <c r="B55" s="14">
        <v>1396908</v>
      </c>
      <c r="C55" s="13">
        <f t="shared" si="1"/>
        <v>139690.79999999999</v>
      </c>
      <c r="D55" s="10" t="str">
        <f>VLOOKUP("*"&amp;TRIM(A55)&amp;"*", 'Sát nhập tỉnh'!A:B, 2, 0)</f>
        <v>Đồng Tháp</v>
      </c>
    </row>
    <row r="56" spans="1:4" ht="27.4" customHeight="1" x14ac:dyDescent="0.5">
      <c r="A56" s="8" t="s">
        <v>24</v>
      </c>
      <c r="B56" s="14">
        <v>1486781</v>
      </c>
      <c r="C56" s="13">
        <f t="shared" si="1"/>
        <v>148678.1</v>
      </c>
      <c r="D56" s="10" t="str">
        <f>VLOOKUP("*"&amp;TRIM(A56)&amp;"*", 'Sát nhập tỉnh'!A:B, 2, 0)</f>
        <v>An Giang</v>
      </c>
    </row>
    <row r="57" spans="1:4" ht="27.4" customHeight="1" x14ac:dyDescent="0.5">
      <c r="A57" s="8" t="s">
        <v>0</v>
      </c>
      <c r="B57" s="14">
        <v>1491591</v>
      </c>
      <c r="C57" s="13">
        <f t="shared" si="1"/>
        <v>149159.1</v>
      </c>
      <c r="D57" s="10" t="str">
        <f>VLOOKUP("*"&amp;TRIM(A57)&amp;"*", 'Sát nhập tỉnh'!A:B, 2, 0)</f>
        <v>An Giang</v>
      </c>
    </row>
    <row r="58" spans="1:4" ht="27.4" customHeight="1" x14ac:dyDescent="0.5">
      <c r="A58" s="8" t="s">
        <v>62</v>
      </c>
      <c r="B58" s="14">
        <v>1859133</v>
      </c>
      <c r="C58" s="13">
        <f t="shared" si="1"/>
        <v>185913.3</v>
      </c>
      <c r="D58" s="10" t="str">
        <f>VLOOKUP("*"&amp;TRIM(A58)&amp;"*", 'Sát nhập tỉnh'!A:B, 2, 0)</f>
        <v>Thanh Hóa</v>
      </c>
    </row>
    <row r="59" spans="1:4" ht="27.4" customHeight="1" x14ac:dyDescent="0.5">
      <c r="A59" s="8" t="s">
        <v>40</v>
      </c>
      <c r="B59" s="14">
        <v>1908660</v>
      </c>
      <c r="C59" s="13">
        <f t="shared" si="1"/>
        <v>190866</v>
      </c>
      <c r="D59" s="10" t="str">
        <f>VLOOKUP("*"&amp;TRIM(A59)&amp;"*", 'Sát nhập tỉnh'!A:B, 2, 0)</f>
        <v>Quảng Ninh</v>
      </c>
    </row>
    <row r="60" spans="1:4" ht="27.4" customHeight="1" x14ac:dyDescent="0.5">
      <c r="A60" s="8" t="s">
        <v>21</v>
      </c>
      <c r="B60" s="14">
        <v>2221984</v>
      </c>
      <c r="C60" s="13">
        <f t="shared" si="1"/>
        <v>222198.39999999999</v>
      </c>
      <c r="D60" s="10" t="str">
        <f>VLOOKUP("*"&amp;TRIM(A60)&amp;"*", 'Sát nhập tỉnh'!A:B, 2, 0)</f>
        <v>TP. Hải Phòng</v>
      </c>
    </row>
    <row r="61" spans="1:4" ht="27.4" customHeight="1" x14ac:dyDescent="0.5">
      <c r="A61" s="8" t="s">
        <v>59</v>
      </c>
      <c r="B61" s="14">
        <v>2809831</v>
      </c>
      <c r="C61" s="13">
        <f t="shared" si="1"/>
        <v>280983.09999999998</v>
      </c>
      <c r="D61" s="10" t="str">
        <f>VLOOKUP("*"&amp;TRIM(A61)&amp;"*", 'Sát nhập tỉnh'!A:B, 2, 0)</f>
        <v>Đồng Nai</v>
      </c>
    </row>
    <row r="62" spans="1:4" ht="27.4" customHeight="1" x14ac:dyDescent="0.5">
      <c r="A62" s="8" t="s">
        <v>2</v>
      </c>
      <c r="B62" s="14">
        <v>2811731</v>
      </c>
      <c r="C62" s="13">
        <f t="shared" si="1"/>
        <v>281173.09999999998</v>
      </c>
      <c r="D62" s="10" t="str">
        <f>VLOOKUP("*"&amp;TRIM(A62)&amp;"*", 'Sát nhập tỉnh'!A:B, 2, 0)</f>
        <v>TP. Hồ Chí Minh</v>
      </c>
    </row>
    <row r="63" spans="1:4" ht="27.4" customHeight="1" x14ac:dyDescent="0.5">
      <c r="A63" s="8" t="s">
        <v>17</v>
      </c>
      <c r="B63" s="14">
        <v>7806102</v>
      </c>
      <c r="C63" s="13">
        <f t="shared" si="1"/>
        <v>780610.2</v>
      </c>
      <c r="D63" s="10" t="str">
        <f>VLOOKUP("*"&amp;TRIM(A63)&amp;"*", 'Sát nhập tỉnh'!A:B, 2, 0)</f>
        <v>TP. Hà Nội</v>
      </c>
    </row>
    <row r="64" spans="1:4" ht="27.4" customHeight="1" x14ac:dyDescent="0.5">
      <c r="A64" s="8" t="s">
        <v>48</v>
      </c>
      <c r="B64" s="14">
        <v>11961294</v>
      </c>
      <c r="C64" s="13">
        <f t="shared" si="1"/>
        <v>1196129.3999999999</v>
      </c>
      <c r="D64" s="10" t="str">
        <f>VLOOKUP("*"&amp;TRIM(A64)&amp;"*", 'Sát nhập tỉnh'!A:B, 2, 0)</f>
        <v>TP. Hồ Chí Minh</v>
      </c>
    </row>
  </sheetData>
  <autoFilter ref="A1:C1" xr:uid="{56860050-3816-4FF3-B548-D41A0F2160A0}">
    <sortState xmlns:xlrd2="http://schemas.microsoft.com/office/spreadsheetml/2017/richdata2" ref="A2:C71">
      <sortCondition ref="C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EAA9-2AB7-49EE-97CF-3E82353B1B39}">
  <dimension ref="A1:D64"/>
  <sheetViews>
    <sheetView workbookViewId="0">
      <selection activeCell="B2" sqref="B2"/>
    </sheetView>
  </sheetViews>
  <sheetFormatPr defaultColWidth="35.46484375" defaultRowHeight="19.899999999999999" customHeight="1" x14ac:dyDescent="0.5"/>
  <cols>
    <col min="1" max="1" width="35.46484375" style="3"/>
    <col min="2" max="2" width="25.1328125" style="4" customWidth="1"/>
    <col min="3" max="3" width="35.46484375" style="2"/>
    <col min="4" max="16384" width="35.46484375" style="1"/>
  </cols>
  <sheetData>
    <row r="1" spans="1:4" ht="40.9" customHeight="1" x14ac:dyDescent="0.5">
      <c r="A1" s="25" t="s">
        <v>106</v>
      </c>
      <c r="B1" s="26" t="s">
        <v>119</v>
      </c>
      <c r="C1" s="24" t="s">
        <v>107</v>
      </c>
      <c r="D1" s="16" t="s">
        <v>118</v>
      </c>
    </row>
    <row r="2" spans="1:4" ht="19.899999999999999" customHeight="1" x14ac:dyDescent="0.5">
      <c r="A2" s="8" t="s">
        <v>8</v>
      </c>
      <c r="B2" s="14">
        <v>158.85</v>
      </c>
      <c r="C2" s="13" t="str">
        <f>VLOOKUP("*"&amp;TRIM(A2)&amp;"*", 'Sát nhập tỉnh'!A:B, 2, 0)</f>
        <v>Thái Nguyên</v>
      </c>
      <c r="D2" s="10">
        <f>IF(LEN(B2)-LEN(SUBSTITUTE(B2, ".", "")) &gt; 1, VALUE(SUBSTITUTE(B2, ".", "", 1)), VALUE(B2))</f>
        <v>158.85</v>
      </c>
    </row>
    <row r="3" spans="1:4" ht="19.899999999999999" customHeight="1" x14ac:dyDescent="0.5">
      <c r="A3" s="8" t="s">
        <v>11</v>
      </c>
      <c r="B3" s="14">
        <v>234.64</v>
      </c>
      <c r="C3" s="13" t="str">
        <f>VLOOKUP("*"&amp;TRIM(A3)&amp;"*", 'Sát nhập tỉnh'!A:B, 2, 0)</f>
        <v>Cao Bằng</v>
      </c>
      <c r="D3" s="10">
        <f t="shared" ref="D3:D64" si="0">IF(LEN(B3)-LEN(SUBSTITUTE(B3, ".", "")) &gt; 1, VALUE(SUBSTITUTE(B3, ".", "", 1)), VALUE(B3))</f>
        <v>234.64</v>
      </c>
    </row>
    <row r="4" spans="1:4" ht="19.899999999999999" customHeight="1" x14ac:dyDescent="0.5">
      <c r="A4" s="8" t="s">
        <v>26</v>
      </c>
      <c r="B4" s="14">
        <v>236.84</v>
      </c>
      <c r="C4" s="13" t="str">
        <f>VLOOKUP("*"&amp;TRIM(A4)&amp;"*", 'Sát nhập tỉnh'!A:B, 2, 0)</f>
        <v>Lai Châu</v>
      </c>
      <c r="D4" s="10">
        <f t="shared" si="0"/>
        <v>236.84</v>
      </c>
    </row>
    <row r="5" spans="1:4" ht="19.899999999999999" customHeight="1" x14ac:dyDescent="0.5">
      <c r="A5" s="8" t="s">
        <v>30</v>
      </c>
      <c r="B5" s="14">
        <v>336.52</v>
      </c>
      <c r="C5" s="13" t="str">
        <f>VLOOKUP("*"&amp;TRIM(A5)&amp;"*", 'Sát nhập tỉnh'!A:B, 2, 0)</f>
        <v>Lạng Sơn</v>
      </c>
      <c r="D5" s="10">
        <f t="shared" si="0"/>
        <v>336.52</v>
      </c>
    </row>
    <row r="6" spans="1:4" ht="19.899999999999999" customHeight="1" x14ac:dyDescent="0.5">
      <c r="A6" s="8" t="s">
        <v>41</v>
      </c>
      <c r="B6" s="14">
        <v>337.24</v>
      </c>
      <c r="C6" s="13" t="str">
        <f>VLOOKUP("*"&amp;TRIM(A6)&amp;"*", 'Sát nhập tỉnh'!A:B, 2, 0)</f>
        <v>Quảng Trị</v>
      </c>
      <c r="D6" s="10">
        <f t="shared" si="0"/>
        <v>337.24</v>
      </c>
    </row>
    <row r="7" spans="1:4" ht="19.899999999999999" customHeight="1" x14ac:dyDescent="0.5">
      <c r="A7" s="8" t="s">
        <v>34</v>
      </c>
      <c r="B7" s="14">
        <v>338.52</v>
      </c>
      <c r="C7" s="13" t="str">
        <f>VLOOKUP("*"&amp;TRIM(A7)&amp;"*", 'Sát nhập tỉnh'!A:B, 2, 0)</f>
        <v>Khánh Hoà</v>
      </c>
      <c r="D7" s="10">
        <f t="shared" si="0"/>
        <v>338.52</v>
      </c>
    </row>
    <row r="8" spans="1:4" ht="19.899999999999999" customHeight="1" x14ac:dyDescent="0.5">
      <c r="A8" s="8" t="s">
        <v>55</v>
      </c>
      <c r="B8" s="14">
        <v>352.01</v>
      </c>
      <c r="C8" s="13" t="str">
        <f>VLOOKUP("*"&amp;TRIM(A8)&amp;"*", 'Sát nhập tỉnh'!A:B, 2, 0)</f>
        <v>Điện Biên</v>
      </c>
      <c r="D8" s="10">
        <f t="shared" si="0"/>
        <v>352.01</v>
      </c>
    </row>
    <row r="9" spans="1:4" ht="19.899999999999999" customHeight="1" x14ac:dyDescent="0.5">
      <c r="A9" s="8" t="s">
        <v>25</v>
      </c>
      <c r="B9" s="14">
        <v>360.29</v>
      </c>
      <c r="C9" s="13" t="str">
        <f>VLOOKUP("*"&amp;TRIM(A9)&amp;"*", 'Sát nhập tỉnh'!A:B, 2, 0)</f>
        <v>Quảng Ngãi</v>
      </c>
      <c r="D9" s="10">
        <f t="shared" si="0"/>
        <v>360.29</v>
      </c>
    </row>
    <row r="10" spans="1:4" ht="19.899999999999999" customHeight="1" x14ac:dyDescent="0.5">
      <c r="A10" s="8" t="s">
        <v>15</v>
      </c>
      <c r="B10" s="14">
        <v>381.74</v>
      </c>
      <c r="C10" s="13" t="str">
        <f>VLOOKUP("*"&amp;TRIM(A10)&amp;"*", 'Sát nhập tỉnh'!A:B, 2, 0)</f>
        <v>Tuyên Quang</v>
      </c>
      <c r="D10" s="10">
        <f t="shared" si="0"/>
        <v>381.74</v>
      </c>
    </row>
    <row r="11" spans="1:4" ht="19.899999999999999" customHeight="1" x14ac:dyDescent="0.5">
      <c r="A11" s="8" t="s">
        <v>54</v>
      </c>
      <c r="B11" s="14">
        <v>382.08</v>
      </c>
      <c r="C11" s="13" t="str">
        <f>VLOOKUP("*"&amp;TRIM(A11)&amp;"*", 'Sát nhập tỉnh'!A:B, 2, 0)</f>
        <v>Lào Cai</v>
      </c>
      <c r="D11" s="10">
        <f t="shared" si="0"/>
        <v>382.08</v>
      </c>
    </row>
    <row r="12" spans="1:4" ht="19.899999999999999" customHeight="1" x14ac:dyDescent="0.5">
      <c r="A12" s="8" t="s">
        <v>50</v>
      </c>
      <c r="B12" s="14">
        <v>386.73</v>
      </c>
      <c r="C12" s="13" t="str">
        <f>VLOOKUP("*"&amp;TRIM(A12)&amp;"*", 'Sát nhập tỉnh'!A:B, 2, 0)</f>
        <v>Tuyên Quang</v>
      </c>
      <c r="D12" s="10">
        <f t="shared" si="0"/>
        <v>386.73</v>
      </c>
    </row>
    <row r="13" spans="1:4" ht="19.899999999999999" customHeight="1" x14ac:dyDescent="0.5">
      <c r="A13" s="8" t="s">
        <v>58</v>
      </c>
      <c r="B13" s="14">
        <v>402</v>
      </c>
      <c r="C13" s="13" t="str">
        <f>VLOOKUP("*"&amp;TRIM(A13)&amp;"*", 'Sát nhập tỉnh'!A:B, 2, 0)</f>
        <v>Lâm Đồng</v>
      </c>
      <c r="D13" s="10">
        <f t="shared" si="0"/>
        <v>402</v>
      </c>
    </row>
    <row r="14" spans="1:4" ht="19.899999999999999" customHeight="1" x14ac:dyDescent="0.5">
      <c r="A14" s="8" t="s">
        <v>28</v>
      </c>
      <c r="B14" s="14">
        <v>404.05</v>
      </c>
      <c r="C14" s="13" t="str">
        <f>VLOOKUP("*"&amp;TRIM(A14)&amp;"*", 'Sát nhập tỉnh'!A:B, 2, 0)</f>
        <v>Lào Cai</v>
      </c>
      <c r="D14" s="10">
        <f t="shared" si="0"/>
        <v>404.05</v>
      </c>
    </row>
    <row r="15" spans="1:4" ht="19.899999999999999" customHeight="1" x14ac:dyDescent="0.5">
      <c r="A15" s="8" t="s">
        <v>22</v>
      </c>
      <c r="B15" s="14">
        <v>414.44</v>
      </c>
      <c r="C15" s="13" t="str">
        <f>VLOOKUP("*"&amp;TRIM(A15)&amp;"*", 'Sát nhập tỉnh'!A:B, 2, 0)</f>
        <v>TP. Cần Thơ</v>
      </c>
      <c r="D15" s="10">
        <f t="shared" si="0"/>
        <v>414.44</v>
      </c>
    </row>
    <row r="16" spans="1:4" ht="19.899999999999999" customHeight="1" x14ac:dyDescent="0.5">
      <c r="A16" s="8" t="s">
        <v>37</v>
      </c>
      <c r="B16" s="14">
        <v>436.75</v>
      </c>
      <c r="C16" s="13" t="str">
        <f>VLOOKUP("*"&amp;TRIM(A16)&amp;"*", 'Sát nhập tỉnh'!A:B, 2, 0)</f>
        <v>Quảng Trị</v>
      </c>
      <c r="D16" s="10">
        <f t="shared" si="0"/>
        <v>436.75</v>
      </c>
    </row>
    <row r="17" spans="1:4" ht="19.899999999999999" customHeight="1" x14ac:dyDescent="0.5">
      <c r="A17" s="8" t="s">
        <v>16</v>
      </c>
      <c r="B17" s="14">
        <v>476.86</v>
      </c>
      <c r="C17" s="13" t="str">
        <f>VLOOKUP("*"&amp;TRIM(A17)&amp;"*", 'Sát nhập tỉnh'!A:B, 2, 0)</f>
        <v>Ninh Bình</v>
      </c>
      <c r="D17" s="10">
        <f t="shared" si="0"/>
        <v>476.86</v>
      </c>
    </row>
    <row r="18" spans="1:4" ht="19.899999999999999" customHeight="1" x14ac:dyDescent="0.5">
      <c r="A18" s="8" t="s">
        <v>36</v>
      </c>
      <c r="B18" s="14">
        <v>480.44</v>
      </c>
      <c r="C18" s="13" t="str">
        <f>VLOOKUP("*"&amp;TRIM(A18)&amp;"*", 'Sát nhập tỉnh'!A:B, 2, 0)</f>
        <v>Đắk Lắk</v>
      </c>
      <c r="D18" s="10">
        <f t="shared" si="0"/>
        <v>480.44</v>
      </c>
    </row>
    <row r="19" spans="1:4" ht="19.899999999999999" customHeight="1" x14ac:dyDescent="0.5">
      <c r="A19" s="8" t="s">
        <v>6</v>
      </c>
      <c r="B19" s="14">
        <v>486.25</v>
      </c>
      <c r="C19" s="13" t="str">
        <f>VLOOKUP("*"&amp;TRIM(A19)&amp;"*", 'Sát nhập tỉnh'!A:B, 2, 0)</f>
        <v>Cà Mau</v>
      </c>
      <c r="D19" s="10">
        <f t="shared" si="0"/>
        <v>486.25</v>
      </c>
    </row>
    <row r="20" spans="1:4" ht="19.899999999999999" customHeight="1" x14ac:dyDescent="0.5">
      <c r="A20" s="8" t="s">
        <v>33</v>
      </c>
      <c r="B20" s="14">
        <v>502.46</v>
      </c>
      <c r="C20" s="13" t="str">
        <f>VLOOKUP("*"&amp;TRIM(A20)&amp;"*", 'Sát nhập tỉnh'!A:B, 2, 0)</f>
        <v>Ninh Bình</v>
      </c>
      <c r="D20" s="10">
        <f t="shared" si="0"/>
        <v>502.46</v>
      </c>
    </row>
    <row r="21" spans="1:4" ht="19.899999999999999" customHeight="1" x14ac:dyDescent="0.5">
      <c r="A21" s="8" t="s">
        <v>61</v>
      </c>
      <c r="B21" s="14">
        <v>517.53</v>
      </c>
      <c r="C21" s="13" t="str">
        <f>VLOOKUP("*"&amp;TRIM(A21)&amp;"*", 'Sát nhập tỉnh'!A:B, 2, 0)</f>
        <v>Phú Thọ</v>
      </c>
      <c r="D21" s="10">
        <f t="shared" si="0"/>
        <v>517.53</v>
      </c>
    </row>
    <row r="22" spans="1:4" ht="19.899999999999999" customHeight="1" x14ac:dyDescent="0.5">
      <c r="A22" s="8" t="s">
        <v>18</v>
      </c>
      <c r="B22" s="14">
        <v>532.22</v>
      </c>
      <c r="C22" s="13" t="str">
        <f>VLOOKUP("*"&amp;TRIM(A22)&amp;"*", 'Sát nhập tỉnh'!A:B, 2, 0)</f>
        <v>Hà Tĩnh</v>
      </c>
      <c r="D22" s="10">
        <f t="shared" si="0"/>
        <v>532.22</v>
      </c>
    </row>
    <row r="23" spans="1:4" ht="19.899999999999999" customHeight="1" x14ac:dyDescent="0.5">
      <c r="A23" s="8" t="s">
        <v>49</v>
      </c>
      <c r="B23" s="14">
        <v>543.29999999999995</v>
      </c>
      <c r="C23" s="13" t="str">
        <f>VLOOKUP("*"&amp;TRIM(A23)&amp;"*", 'Sát nhập tỉnh'!A:B, 2, 0)</f>
        <v>Vĩnh Long</v>
      </c>
      <c r="D23" s="10">
        <f t="shared" si="0"/>
        <v>543.29999999999995</v>
      </c>
    </row>
    <row r="24" spans="1:4" ht="19.899999999999999" customHeight="1" x14ac:dyDescent="0.5">
      <c r="A24" s="8" t="s">
        <v>3</v>
      </c>
      <c r="B24" s="14">
        <v>609.46</v>
      </c>
      <c r="C24" s="13" t="str">
        <f>VLOOKUP("*"&amp;TRIM(A24)&amp;"*", 'Sát nhập tỉnh'!A:B, 2, 0)</f>
        <v>Đồng Nai</v>
      </c>
      <c r="D24" s="10">
        <f t="shared" si="0"/>
        <v>609.46</v>
      </c>
    </row>
    <row r="25" spans="1:4" ht="19.899999999999999" customHeight="1" x14ac:dyDescent="0.5">
      <c r="A25" s="8" t="s">
        <v>52</v>
      </c>
      <c r="B25" s="14">
        <v>609.46</v>
      </c>
      <c r="C25" s="13" t="str">
        <f>VLOOKUP("*"&amp;TRIM(A25)&amp;"*", 'Sát nhập tỉnh'!A:B, 2, 0)</f>
        <v>Vĩnh Long</v>
      </c>
      <c r="D25" s="10">
        <f t="shared" si="0"/>
        <v>609.46</v>
      </c>
    </row>
    <row r="26" spans="1:4" ht="19.899999999999999" customHeight="1" x14ac:dyDescent="0.5">
      <c r="A26" s="8" t="s">
        <v>53</v>
      </c>
      <c r="B26" s="14">
        <v>621.28</v>
      </c>
      <c r="C26" s="13" t="str">
        <f>VLOOKUP("*"&amp;TRIM(A26)&amp;"*", 'Sát nhập tỉnh'!A:B, 2, 0)</f>
        <v>Phú Thọ</v>
      </c>
      <c r="D26" s="10">
        <f t="shared" si="0"/>
        <v>621.28</v>
      </c>
    </row>
    <row r="27" spans="1:4" ht="19.899999999999999" customHeight="1" x14ac:dyDescent="0.5">
      <c r="A27" s="8" t="s">
        <v>45</v>
      </c>
      <c r="B27" s="14">
        <v>622.53</v>
      </c>
      <c r="C27" s="13" t="str">
        <f>VLOOKUP("*"&amp;TRIM(A27)&amp;"*", 'Sát nhập tỉnh'!A:B, 2, 0)</f>
        <v>Thái Nguyên</v>
      </c>
      <c r="D27" s="10">
        <f t="shared" si="0"/>
        <v>622.53</v>
      </c>
    </row>
    <row r="28" spans="1:4" ht="19.899999999999999" customHeight="1" x14ac:dyDescent="0.5">
      <c r="A28" s="8" t="s">
        <v>43</v>
      </c>
      <c r="B28" s="14">
        <v>625.16999999999996</v>
      </c>
      <c r="C28" s="13" t="str">
        <f>VLOOKUP("*"&amp;TRIM(A28)&amp;"*", 'Sát nhập tỉnh'!A:B, 2, 0)</f>
        <v>Sơn La</v>
      </c>
      <c r="D28" s="10">
        <f t="shared" si="0"/>
        <v>625.16999999999996</v>
      </c>
    </row>
    <row r="29" spans="1:4" ht="19.899999999999999" customHeight="1" x14ac:dyDescent="0.5">
      <c r="A29" s="8" t="s">
        <v>63</v>
      </c>
      <c r="B29" s="14">
        <v>628.52</v>
      </c>
      <c r="C29" s="13" t="str">
        <f>VLOOKUP("*"&amp;TRIM(A29)&amp;"*", 'Sát nhập tỉnh'!A:B, 2, 0)</f>
        <v>TP. Huế</v>
      </c>
      <c r="D29" s="10">
        <f t="shared" si="0"/>
        <v>628.52</v>
      </c>
    </row>
    <row r="30" spans="1:4" ht="19.899999999999999" customHeight="1" x14ac:dyDescent="0.5">
      <c r="A30" s="8" t="s">
        <v>42</v>
      </c>
      <c r="B30" s="14">
        <v>630.07000000000005</v>
      </c>
      <c r="C30" s="13" t="str">
        <f>VLOOKUP("*"&amp;TRIM(A30)&amp;"*", 'Sát nhập tỉnh'!A:B, 2, 0)</f>
        <v>TP. Cần Thơ</v>
      </c>
      <c r="D30" s="10">
        <f t="shared" si="0"/>
        <v>630.07000000000005</v>
      </c>
    </row>
    <row r="31" spans="1:4" ht="19.899999999999999" customHeight="1" x14ac:dyDescent="0.5">
      <c r="A31" s="8" t="s">
        <v>13</v>
      </c>
      <c r="B31" s="14">
        <v>632.26</v>
      </c>
      <c r="C31" s="13" t="str">
        <f>VLOOKUP("*"&amp;TRIM(A31)&amp;"*", 'Sát nhập tỉnh'!A:B, 2, 0)</f>
        <v>TP. Cần Thơ</v>
      </c>
      <c r="D31" s="10">
        <f t="shared" si="0"/>
        <v>632.26</v>
      </c>
    </row>
    <row r="32" spans="1:4" ht="19.899999999999999" customHeight="1" x14ac:dyDescent="0.5">
      <c r="A32" s="8" t="s">
        <v>1</v>
      </c>
      <c r="B32" s="14">
        <v>633.45000000000005</v>
      </c>
      <c r="C32" s="13" t="str">
        <f>VLOOKUP("*"&amp;TRIM(A32)&amp;"*", 'Sát nhập tỉnh'!A:B, 2, 0)</f>
        <v>TP. Hồ Chí Minh</v>
      </c>
      <c r="D32" s="10">
        <f t="shared" si="0"/>
        <v>633.45000000000005</v>
      </c>
    </row>
    <row r="33" spans="1:4" ht="19.899999999999999" customHeight="1" x14ac:dyDescent="0.5">
      <c r="A33" s="8" t="s">
        <v>12</v>
      </c>
      <c r="B33" s="14">
        <v>636.35</v>
      </c>
      <c r="C33" s="13" t="str">
        <f>VLOOKUP("*"&amp;TRIM(A33)&amp;"*", 'Sát nhập tỉnh'!A:B, 2, 0)</f>
        <v>Cà Mau</v>
      </c>
      <c r="D33" s="10">
        <f t="shared" si="0"/>
        <v>636.35</v>
      </c>
    </row>
    <row r="34" spans="1:4" ht="19.899999999999999" customHeight="1" x14ac:dyDescent="0.5">
      <c r="A34" s="8" t="s">
        <v>56</v>
      </c>
      <c r="B34" s="14">
        <v>679.49</v>
      </c>
      <c r="C34" s="13" t="str">
        <f>VLOOKUP("*"&amp;TRIM(A34)&amp;"*", 'Sát nhập tỉnh'!A:B, 2, 0)</f>
        <v>TP. Đà Nẵng</v>
      </c>
      <c r="D34" s="10">
        <f t="shared" si="0"/>
        <v>679.49</v>
      </c>
    </row>
    <row r="35" spans="1:4" ht="19.899999999999999" customHeight="1" x14ac:dyDescent="0.5">
      <c r="A35" s="8" t="s">
        <v>39</v>
      </c>
      <c r="B35" s="14">
        <v>688.08</v>
      </c>
      <c r="C35" s="13" t="str">
        <f>VLOOKUP("*"&amp;TRIM(A35)&amp;"*", 'Sát nhập tỉnh'!A:B, 2, 0)</f>
        <v>Quảng Ngãi</v>
      </c>
      <c r="D35" s="10">
        <f t="shared" si="0"/>
        <v>688.08</v>
      </c>
    </row>
    <row r="36" spans="1:4" ht="19.899999999999999" customHeight="1" x14ac:dyDescent="0.5">
      <c r="A36" s="8" t="s">
        <v>40</v>
      </c>
      <c r="B36" s="14">
        <v>695.25</v>
      </c>
      <c r="C36" s="13" t="str">
        <f>VLOOKUP("*"&amp;TRIM(A36)&amp;"*", 'Sát nhập tỉnh'!A:B, 2, 0)</f>
        <v>Quảng Ninh</v>
      </c>
      <c r="D36" s="10">
        <f t="shared" si="0"/>
        <v>695.25</v>
      </c>
    </row>
    <row r="37" spans="1:4" ht="19.899999999999999" customHeight="1" x14ac:dyDescent="0.5">
      <c r="A37" s="8" t="s">
        <v>19</v>
      </c>
      <c r="B37" s="14">
        <v>696.21</v>
      </c>
      <c r="C37" s="13" t="str">
        <f>VLOOKUP("*"&amp;TRIM(A37)&amp;"*", 'Sát nhập tỉnh'!A:B, 2, 0)</f>
        <v>Hưng Yên</v>
      </c>
      <c r="D37" s="10">
        <f t="shared" si="0"/>
        <v>696.21</v>
      </c>
    </row>
    <row r="38" spans="1:4" ht="19.899999999999999" customHeight="1" x14ac:dyDescent="0.5">
      <c r="A38" s="8" t="s">
        <v>51</v>
      </c>
      <c r="B38" s="14">
        <v>696.26</v>
      </c>
      <c r="C38" s="13" t="str">
        <f>VLOOKUP("*"&amp;TRIM(A38)&amp;"*", 'Sát nhập tỉnh'!A:B, 2, 0)</f>
        <v>Tây Ninh</v>
      </c>
      <c r="D38" s="10">
        <f t="shared" si="0"/>
        <v>696.26</v>
      </c>
    </row>
    <row r="39" spans="1:4" ht="19.899999999999999" customHeight="1" x14ac:dyDescent="0.5">
      <c r="A39" s="8" t="s">
        <v>4</v>
      </c>
      <c r="B39" s="14">
        <v>707.74</v>
      </c>
      <c r="C39" s="13" t="str">
        <f>VLOOKUP("*"&amp;TRIM(A39)&amp;"*", 'Sát nhập tỉnh'!A:B, 2, 0)</f>
        <v>Lâm Đồng</v>
      </c>
      <c r="D39" s="10">
        <f t="shared" si="0"/>
        <v>707.74</v>
      </c>
    </row>
    <row r="40" spans="1:4" ht="19.899999999999999" customHeight="1" x14ac:dyDescent="0.5">
      <c r="A40" s="8" t="s">
        <v>23</v>
      </c>
      <c r="B40" s="14">
        <v>708.96</v>
      </c>
      <c r="C40" s="13" t="str">
        <f>VLOOKUP("*"&amp;TRIM(A40)&amp;"*", 'Sát nhập tỉnh'!A:B, 2, 0)</f>
        <v>Khánh Hoà</v>
      </c>
      <c r="D40" s="10">
        <f t="shared" si="0"/>
        <v>708.96</v>
      </c>
    </row>
    <row r="41" spans="1:4" ht="19.899999999999999" customHeight="1" x14ac:dyDescent="0.5">
      <c r="A41" s="8" t="s">
        <v>35</v>
      </c>
      <c r="B41" s="14">
        <v>730.88</v>
      </c>
      <c r="C41" s="13" t="str">
        <f>VLOOKUP("*"&amp;TRIM(A41)&amp;"*", 'Sát nhập tỉnh'!A:B, 2, 0)</f>
        <v>Phú Thọ</v>
      </c>
      <c r="D41" s="10">
        <f t="shared" si="0"/>
        <v>730.88</v>
      </c>
    </row>
    <row r="42" spans="1:4" ht="19.899999999999999" customHeight="1" x14ac:dyDescent="0.5">
      <c r="A42" s="8" t="s">
        <v>10</v>
      </c>
      <c r="B42" s="14">
        <v>787.58</v>
      </c>
      <c r="C42" s="13" t="str">
        <f>VLOOKUP("*"&amp;TRIM(A42)&amp;"*", 'Sát nhập tỉnh'!A:B, 2, 0)</f>
        <v>Vĩnh Long</v>
      </c>
      <c r="D42" s="10">
        <f t="shared" si="0"/>
        <v>787.58</v>
      </c>
    </row>
    <row r="43" spans="1:4" ht="19.899999999999999" customHeight="1" x14ac:dyDescent="0.5">
      <c r="A43" s="8" t="s">
        <v>29</v>
      </c>
      <c r="B43" s="14">
        <v>803.23</v>
      </c>
      <c r="C43" s="13" t="str">
        <f>VLOOKUP("*"&amp;TRIM(A43)&amp;"*", 'Sát nhập tỉnh'!A:B, 2, 0)</f>
        <v>Lâm Đồng</v>
      </c>
      <c r="D43" s="10">
        <f t="shared" si="0"/>
        <v>803.23</v>
      </c>
    </row>
    <row r="44" spans="1:4" ht="19.899999999999999" customHeight="1" x14ac:dyDescent="0.5">
      <c r="A44" s="8" t="s">
        <v>9</v>
      </c>
      <c r="B44" s="14">
        <v>818.31</v>
      </c>
      <c r="C44" s="13" t="str">
        <f>VLOOKUP("*"&amp;TRIM(A44)&amp;"*", 'Sát nhập tỉnh'!A:B, 2, 0)</f>
        <v>Bắc Ninh</v>
      </c>
      <c r="D44" s="10">
        <f t="shared" si="0"/>
        <v>818.31</v>
      </c>
    </row>
    <row r="45" spans="1:4" ht="19.899999999999999" customHeight="1" x14ac:dyDescent="0.5">
      <c r="A45" s="8" t="s">
        <v>38</v>
      </c>
      <c r="B45" s="14">
        <v>852.09</v>
      </c>
      <c r="C45" s="13" t="str">
        <f>VLOOKUP("*"&amp;TRIM(A45)&amp;"*", 'Sát nhập tỉnh'!A:B, 2, 0)</f>
        <v>TP. Đà Nẵng</v>
      </c>
      <c r="D45" s="10">
        <f t="shared" si="0"/>
        <v>852.09</v>
      </c>
    </row>
    <row r="46" spans="1:4" ht="19.899999999999999" customHeight="1" x14ac:dyDescent="0.5">
      <c r="A46" s="8" t="s">
        <v>5</v>
      </c>
      <c r="B46" s="14">
        <v>857.58</v>
      </c>
      <c r="C46" s="13" t="str">
        <f>VLOOKUP("*"&amp;TRIM(A46)&amp;"*", 'Sát nhập tỉnh'!A:B, 2, 0)</f>
        <v>Gia Lai</v>
      </c>
      <c r="D46" s="10">
        <f t="shared" si="0"/>
        <v>857.58</v>
      </c>
    </row>
    <row r="47" spans="1:4" ht="19.899999999999999" customHeight="1" x14ac:dyDescent="0.5">
      <c r="A47" s="8" t="s">
        <v>60</v>
      </c>
      <c r="B47" s="14">
        <v>909.79</v>
      </c>
      <c r="C47" s="13" t="str">
        <f>VLOOKUP("*"&amp;TRIM(A47)&amp;"*", 'Sát nhập tỉnh'!A:B, 2, 0)</f>
        <v>Đồng Tháp</v>
      </c>
      <c r="D47" s="10">
        <f t="shared" si="0"/>
        <v>909.79</v>
      </c>
    </row>
    <row r="48" spans="1:4" ht="19.899999999999999" customHeight="1" x14ac:dyDescent="0.5">
      <c r="A48" s="8" t="s">
        <v>24</v>
      </c>
      <c r="B48" s="14">
        <v>930.72</v>
      </c>
      <c r="C48" s="13" t="str">
        <f>VLOOKUP("*"&amp;TRIM(A48)&amp;"*", 'Sát nhập tỉnh'!A:B, 2, 0)</f>
        <v>An Giang</v>
      </c>
      <c r="D48" s="10">
        <f t="shared" si="0"/>
        <v>930.72</v>
      </c>
    </row>
    <row r="49" spans="1:4" ht="19.899999999999999" customHeight="1" x14ac:dyDescent="0.5">
      <c r="A49" s="8" t="s">
        <v>0</v>
      </c>
      <c r="B49" s="14">
        <v>934.13</v>
      </c>
      <c r="C49" s="13" t="str">
        <f>VLOOKUP("*"&amp;TRIM(A49)&amp;"*", 'Sát nhập tỉnh'!A:B, 2, 0)</f>
        <v>An Giang</v>
      </c>
      <c r="D49" s="10">
        <f t="shared" si="0"/>
        <v>934.13</v>
      </c>
    </row>
    <row r="50" spans="1:4" ht="19.899999999999999" customHeight="1" x14ac:dyDescent="0.5">
      <c r="A50" s="8" t="s">
        <v>20</v>
      </c>
      <c r="B50" s="14">
        <v>947.53</v>
      </c>
      <c r="C50" s="13" t="str">
        <f>VLOOKUP("*"&amp;TRIM(A50)&amp;"*", 'Sát nhập tỉnh'!A:B, 2, 0)</f>
        <v>TP. Hải Phòng</v>
      </c>
      <c r="D50" s="10">
        <f t="shared" si="0"/>
        <v>947.53</v>
      </c>
    </row>
    <row r="51" spans="1:4" ht="19.899999999999999" customHeight="1" x14ac:dyDescent="0.5">
      <c r="A51" s="8" t="s">
        <v>31</v>
      </c>
      <c r="B51" s="14">
        <v>971.17</v>
      </c>
      <c r="C51" s="13" t="str">
        <f>VLOOKUP("*"&amp;TRIM(A51)&amp;"*", 'Sát nhập tỉnh'!A:B, 2, 0)</f>
        <v>Ninh Bình</v>
      </c>
      <c r="D51" s="10">
        <f t="shared" si="0"/>
        <v>971.17</v>
      </c>
    </row>
    <row r="52" spans="1:4" ht="19.899999999999999" customHeight="1" x14ac:dyDescent="0.5">
      <c r="A52" s="8" t="s">
        <v>14</v>
      </c>
      <c r="B52" s="14">
        <v>973.27</v>
      </c>
      <c r="C52" s="13" t="str">
        <f>VLOOKUP("*"&amp;TRIM(A52)&amp;"*", 'Sát nhập tỉnh'!A:B, 2, 0)</f>
        <v>Gia Lai</v>
      </c>
      <c r="D52" s="10">
        <f t="shared" si="0"/>
        <v>973.27</v>
      </c>
    </row>
    <row r="53" spans="1:4" ht="19.899999999999999" customHeight="1" x14ac:dyDescent="0.5">
      <c r="A53" s="8" t="s">
        <v>44</v>
      </c>
      <c r="B53" s="14" t="s">
        <v>67</v>
      </c>
      <c r="C53" s="13" t="str">
        <f>VLOOKUP("*"&amp;TRIM(A53)&amp;"*", 'Sát nhập tỉnh'!A:B, 2, 0)</f>
        <v>Hưng Yên</v>
      </c>
      <c r="D53" s="10">
        <f t="shared" si="0"/>
        <v>1001.09</v>
      </c>
    </row>
    <row r="54" spans="1:4" ht="19.899999999999999" customHeight="1" x14ac:dyDescent="0.5">
      <c r="A54" s="8" t="s">
        <v>27</v>
      </c>
      <c r="B54" s="14" t="s">
        <v>75</v>
      </c>
      <c r="C54" s="13" t="str">
        <f>VLOOKUP("*"&amp;TRIM(A54)&amp;"*", 'Sát nhập tỉnh'!A:B, 2, 0)</f>
        <v>Tây Ninh</v>
      </c>
      <c r="D54" s="10">
        <f t="shared" si="0"/>
        <v>1028.01</v>
      </c>
    </row>
    <row r="55" spans="1:4" ht="19.899999999999999" customHeight="1" x14ac:dyDescent="0.5">
      <c r="A55" s="8" t="s">
        <v>7</v>
      </c>
      <c r="B55" s="14" t="s">
        <v>68</v>
      </c>
      <c r="C55" s="13" t="str">
        <f>VLOOKUP("*"&amp;TRIM(A55)&amp;"*", 'Sát nhập tỉnh'!A:B, 2, 0)</f>
        <v>Bắc Ninh</v>
      </c>
      <c r="D55" s="10">
        <f t="shared" si="0"/>
        <v>1041.19</v>
      </c>
    </row>
    <row r="56" spans="1:4" ht="19.899999999999999" customHeight="1" x14ac:dyDescent="0.5">
      <c r="A56" s="8" t="s">
        <v>21</v>
      </c>
      <c r="B56" s="14" t="s">
        <v>66</v>
      </c>
      <c r="C56" s="13" t="str">
        <f>VLOOKUP("*"&amp;TRIM(A56)&amp;"*", 'Sát nhập tỉnh'!A:B, 2, 0)</f>
        <v>TP. Hải Phòng</v>
      </c>
      <c r="D56" s="10">
        <f t="shared" si="0"/>
        <v>1062.24</v>
      </c>
    </row>
    <row r="57" spans="1:4" ht="19.899999999999999" customHeight="1" x14ac:dyDescent="0.5">
      <c r="A57" s="8" t="s">
        <v>47</v>
      </c>
      <c r="B57" s="14" t="s">
        <v>76</v>
      </c>
      <c r="C57" s="13" t="str">
        <f>VLOOKUP("*"&amp;TRIM(A57)&amp;"*", 'Sát nhập tỉnh'!A:B, 2, 0)</f>
        <v>Đồng Tháp</v>
      </c>
      <c r="D57" s="10">
        <f t="shared" si="0"/>
        <v>1100.47</v>
      </c>
    </row>
    <row r="58" spans="1:4" ht="19.899999999999999" customHeight="1" x14ac:dyDescent="0.5">
      <c r="A58" s="8" t="s">
        <v>57</v>
      </c>
      <c r="B58" s="14" t="s">
        <v>71</v>
      </c>
      <c r="C58" s="13" t="str">
        <f>VLOOKUP("*"&amp;TRIM(A58)&amp;"*", 'Sát nhập tỉnh'!A:B, 2, 0)</f>
        <v>Đắk Lắk</v>
      </c>
      <c r="D58" s="10">
        <f t="shared" si="0"/>
        <v>1159.52</v>
      </c>
    </row>
    <row r="59" spans="1:4" ht="19.899999999999999" customHeight="1" x14ac:dyDescent="0.5">
      <c r="A59" s="8" t="s">
        <v>32</v>
      </c>
      <c r="B59" s="14" t="s">
        <v>70</v>
      </c>
      <c r="C59" s="13" t="str">
        <f>VLOOKUP("*"&amp;TRIM(A59)&amp;"*", 'Sát nhập tỉnh'!A:B, 2, 0)</f>
        <v>Nghệ An</v>
      </c>
      <c r="D59" s="10">
        <f t="shared" si="0"/>
        <v>1634.25</v>
      </c>
    </row>
    <row r="60" spans="1:4" ht="19.899999999999999" customHeight="1" x14ac:dyDescent="0.5">
      <c r="A60" s="8" t="s">
        <v>59</v>
      </c>
      <c r="B60" s="14" t="s">
        <v>73</v>
      </c>
      <c r="C60" s="13" t="str">
        <f>VLOOKUP("*"&amp;TRIM(A60)&amp;"*", 'Sát nhập tỉnh'!A:B, 2, 0)</f>
        <v>Đồng Nai</v>
      </c>
      <c r="D60" s="10">
        <f t="shared" si="0"/>
        <v>1899.69</v>
      </c>
    </row>
    <row r="61" spans="1:4" ht="19.899999999999999" customHeight="1" x14ac:dyDescent="0.5">
      <c r="A61" s="8" t="s">
        <v>62</v>
      </c>
      <c r="B61" s="14" t="s">
        <v>69</v>
      </c>
      <c r="C61" s="13" t="str">
        <f>VLOOKUP("*"&amp;TRIM(A61)&amp;"*", 'Sát nhập tỉnh'!A:B, 2, 0)</f>
        <v>Thanh Hóa</v>
      </c>
      <c r="D61" s="10">
        <f t="shared" si="0"/>
        <v>1986.94</v>
      </c>
    </row>
    <row r="62" spans="1:4" ht="19.899999999999999" customHeight="1" x14ac:dyDescent="0.5">
      <c r="A62" s="8" t="s">
        <v>2</v>
      </c>
      <c r="B62" s="14" t="s">
        <v>72</v>
      </c>
      <c r="C62" s="13" t="str">
        <f>VLOOKUP("*"&amp;TRIM(A62)&amp;"*", 'Sát nhập tỉnh'!A:B, 2, 0)</f>
        <v>TP. Hồ Chí Minh</v>
      </c>
      <c r="D62" s="10">
        <f t="shared" si="0"/>
        <v>2019.36</v>
      </c>
    </row>
    <row r="63" spans="1:4" ht="19.899999999999999" customHeight="1" x14ac:dyDescent="0.5">
      <c r="A63" s="8" t="s">
        <v>17</v>
      </c>
      <c r="B63" s="14" t="s">
        <v>65</v>
      </c>
      <c r="C63" s="13" t="str">
        <f>VLOOKUP("*"&amp;TRIM(A63)&amp;"*", 'Sát nhập tỉnh'!A:B, 2, 0)</f>
        <v>TP. Hà Nội</v>
      </c>
      <c r="D63" s="10">
        <f t="shared" si="0"/>
        <v>4259.1499999999996</v>
      </c>
    </row>
    <row r="64" spans="1:4" ht="19.899999999999999" customHeight="1" x14ac:dyDescent="0.5">
      <c r="A64" s="8" t="s">
        <v>48</v>
      </c>
      <c r="B64" s="14" t="s">
        <v>74</v>
      </c>
      <c r="C64" s="13" t="str">
        <f>VLOOKUP("*"&amp;TRIM(A64)&amp;"*", 'Sát nhập tỉnh'!A:B, 2, 0)</f>
        <v>TP. Hồ Chí Minh</v>
      </c>
      <c r="D64" s="10">
        <f t="shared" si="0"/>
        <v>5029.17</v>
      </c>
    </row>
  </sheetData>
  <autoFilter ref="A1:B1" xr:uid="{F3D1EAA9-2AB7-49EE-97CF-3E82353B1B39}">
    <sortState xmlns:xlrd2="http://schemas.microsoft.com/office/spreadsheetml/2017/richdata2" ref="A2:B7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hợp</vt:lpstr>
      <vt:lpstr>Sát nhập tỉnh</vt:lpstr>
      <vt:lpstr>Dân số và diện tích từng tỉnh</vt:lpstr>
      <vt:lpstr>Thu nhập bình quân</vt:lpstr>
      <vt:lpstr>Tổng mức bán lẻ và doanh thu</vt:lpstr>
      <vt:lpstr>Lao động theo từng tỉnh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THỊ QUỲNH GIANG</dc:creator>
  <cp:lastModifiedBy>TRƯƠNG THỊ QUỲNH GIANG</cp:lastModifiedBy>
  <dcterms:created xsi:type="dcterms:W3CDTF">2026-10-21T05:24:16Z</dcterms:created>
  <dcterms:modified xsi:type="dcterms:W3CDTF">2026-10-22T07:51:31Z</dcterms:modified>
</cp:coreProperties>
</file>